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frelotraders-my.sharepoint.com/personal/joylorna_frelotraders_onmicrosoft_com/Documents/Documents/11 portfolio projects/project 2/"/>
    </mc:Choice>
  </mc:AlternateContent>
  <xr:revisionPtr revIDLastSave="2859" documentId="8_{6ED20E99-2C23-4C40-BC7D-6339676C4021}" xr6:coauthVersionLast="47" xr6:coauthVersionMax="47" xr10:uidLastSave="{FD84166C-04E1-4D05-88F8-2275E895EA75}"/>
  <bookViews>
    <workbookView xWindow="-110" yWindow="-110" windowWidth="19420" windowHeight="10300" firstSheet="6" activeTab="9" xr2:uid="{4784F733-99A3-48C9-A141-9785CA9315D5}"/>
  </bookViews>
  <sheets>
    <sheet name="INSTITUTIONAL PROFILE" sheetId="1" r:id="rId1"/>
    <sheet name="RISK REGISTER" sheetId="2" r:id="rId2"/>
    <sheet name="RISK APPETITE" sheetId="7" r:id="rId3"/>
    <sheet name="HEAT MAP" sheetId="3" r:id="rId4"/>
    <sheet name="EXECUTIVE SUMMARY" sheetId="4" r:id="rId5"/>
    <sheet name="KRI DASHBOARD" sheetId="11" r:id="rId6"/>
    <sheet name="CONTROL TESTING" sheetId="8" r:id="rId7"/>
    <sheet name="ACTION TRACKER" sheetId="9" r:id="rId8"/>
    <sheet name="EMERGING RISKS" sheetId="10" r:id="rId9"/>
    <sheet name="CHECKLIST" sheetId="5" r:id="rId10"/>
    <sheet name="HEAT MAP SUPPORT" sheetId="6" state="hidden" r:id="rId11"/>
  </sheets>
  <definedNames>
    <definedName name="_xlnm.Print_Area" localSheetId="9">CHECKLIST!$A$1:$L$31</definedName>
    <definedName name="_xlnm.Print_Area" localSheetId="4">'EXECUTIVE SUMMARY'!$A$1:$L$34</definedName>
    <definedName name="_xlnm.Print_Area" localSheetId="3">'HEAT MAP'!$A$1:$L$43</definedName>
    <definedName name="_xlnm.Print_Area" localSheetId="0">'INSTITUTIONAL PROFILE'!$A$1:$H$43</definedName>
    <definedName name="_xlnm.Print_Area" localSheetId="1">'RISK REGISTER'!$A$1:$S$36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7" i="6" l="1"/>
  <c r="I19" i="6"/>
  <c r="E27" i="6"/>
  <c r="E19" i="6"/>
  <c r="J4" i="5"/>
  <c r="G4" i="5"/>
  <c r="D4" i="5"/>
  <c r="A4" i="5"/>
  <c r="E8" i="11"/>
  <c r="C8" i="11"/>
  <c r="A8" i="11"/>
  <c r="C5" i="11"/>
  <c r="E5" i="9"/>
  <c r="C5" i="9"/>
  <c r="A5" i="9"/>
  <c r="E5" i="8"/>
  <c r="C5" i="8"/>
  <c r="A5" i="8"/>
  <c r="I4" i="2"/>
  <c r="A4"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A30" i="4"/>
  <c r="A18" i="3"/>
  <c r="A10" i="1"/>
  <c r="L19" i="4"/>
  <c r="L18" i="4"/>
  <c r="L17" i="4"/>
  <c r="G4" i="4"/>
  <c r="A4" i="4"/>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A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I24" i="3" a="1"/>
  <c r="I24" i="3" s="1"/>
  <c r="F14" i="3" a="1"/>
  <c r="F14" i="3" s="1"/>
  <c r="E14" i="3" a="1"/>
  <c r="E14" i="3" s="1"/>
  <c r="D14" i="3" a="1"/>
  <c r="D14" i="3" s="1"/>
  <c r="C14" i="3" a="1"/>
  <c r="C14" i="3" s="1"/>
  <c r="B14" i="3" a="1"/>
  <c r="B14" i="3" s="1"/>
  <c r="F13" i="3" a="1"/>
  <c r="F13" i="3" s="1"/>
  <c r="E13" i="3" a="1"/>
  <c r="E13" i="3" s="1"/>
  <c r="D13" i="3" a="1"/>
  <c r="D13" i="3" s="1"/>
  <c r="C13" i="3" a="1"/>
  <c r="C13" i="3" s="1"/>
  <c r="B13" i="3" a="1"/>
  <c r="B13" i="3" s="1"/>
  <c r="F12" i="3" a="1"/>
  <c r="F12" i="3" s="1"/>
  <c r="E12" i="3" a="1"/>
  <c r="E12" i="3" s="1"/>
  <c r="D12" i="3" a="1"/>
  <c r="D12" i="3" s="1"/>
  <c r="C12" i="3" a="1"/>
  <c r="C12" i="3" s="1"/>
  <c r="B12" i="3" a="1"/>
  <c r="B12" i="3" s="1"/>
  <c r="F11" i="3" a="1"/>
  <c r="F11" i="3" s="1"/>
  <c r="E11" i="3" a="1"/>
  <c r="E11" i="3" s="1"/>
  <c r="D11" i="3" a="1"/>
  <c r="D11" i="3" s="1"/>
  <c r="C11" i="3" a="1"/>
  <c r="C11" i="3" s="1"/>
  <c r="B11" i="3" a="1"/>
  <c r="B11" i="3" s="1"/>
  <c r="F10" i="3" a="1"/>
  <c r="F10" i="3" s="1"/>
  <c r="E10" i="3" a="1"/>
  <c r="E10" i="3" s="1"/>
  <c r="D10" i="3" a="1"/>
  <c r="D10" i="3" s="1"/>
  <c r="C10" i="3" a="1"/>
  <c r="C10" i="3" s="1"/>
  <c r="B10" i="3" a="1"/>
  <c r="B10" i="3" s="1"/>
  <c r="E6" i="1"/>
  <c r="A6" i="1"/>
  <c r="R36" i="2"/>
  <c r="T36" i="2" s="1"/>
  <c r="R35" i="2"/>
  <c r="S35" i="2" s="1"/>
  <c r="D30" i="6" s="1"/>
  <c r="K30" i="6" s="1"/>
  <c r="R34" i="2"/>
  <c r="T34" i="2" s="1"/>
  <c r="R33" i="2"/>
  <c r="T33" i="2" s="1"/>
  <c r="R32" i="2"/>
  <c r="S32" i="2" s="1"/>
  <c r="D27" i="6" s="1"/>
  <c r="J27" i="6" s="1"/>
  <c r="R31" i="2"/>
  <c r="T31" i="2" s="1"/>
  <c r="R30" i="2"/>
  <c r="T30" i="2" s="1"/>
  <c r="R29" i="2"/>
  <c r="T29" i="2" s="1"/>
  <c r="R28" i="2"/>
  <c r="T28" i="2" s="1"/>
  <c r="R27" i="2"/>
  <c r="S27" i="2" s="1"/>
  <c r="D22" i="6" s="1"/>
  <c r="K22" i="6" s="1"/>
  <c r="R26" i="2"/>
  <c r="S26" i="2" s="1"/>
  <c r="D21" i="6" s="1"/>
  <c r="K21" i="6" s="1"/>
  <c r="R25" i="2"/>
  <c r="S25" i="2" s="1"/>
  <c r="D20" i="6" s="1"/>
  <c r="J20" i="6" s="1"/>
  <c r="R24" i="2"/>
  <c r="S24" i="2" s="1"/>
  <c r="D19" i="6" s="1"/>
  <c r="J19" i="6" s="1"/>
  <c r="R23" i="2"/>
  <c r="T23" i="2" s="1"/>
  <c r="R22" i="2"/>
  <c r="T22" i="2" s="1"/>
  <c r="R21" i="2"/>
  <c r="T21" i="2" s="1"/>
  <c r="R20" i="2"/>
  <c r="T20" i="2" s="1"/>
  <c r="R19" i="2"/>
  <c r="S19" i="2" s="1"/>
  <c r="D14" i="6" s="1"/>
  <c r="K14" i="6" s="1"/>
  <c r="R18" i="2"/>
  <c r="S18" i="2" s="1"/>
  <c r="D13" i="6" s="1"/>
  <c r="K13" i="6" s="1"/>
  <c r="R17" i="2"/>
  <c r="T17" i="2" s="1"/>
  <c r="R16" i="2"/>
  <c r="T16" i="2" s="1"/>
  <c r="R15" i="2"/>
  <c r="T15" i="2" s="1"/>
  <c r="R14" i="2"/>
  <c r="T14" i="2" s="1"/>
  <c r="R13" i="2"/>
  <c r="T13" i="2" s="1"/>
  <c r="R12" i="2"/>
  <c r="T12" i="2" s="1"/>
  <c r="R11" i="2"/>
  <c r="S11" i="2" s="1"/>
  <c r="D6" i="6" s="1"/>
  <c r="K6" i="6" s="1"/>
  <c r="R10" i="2"/>
  <c r="R9" i="2"/>
  <c r="S9" i="2" s="1"/>
  <c r="D4" i="6" s="1"/>
  <c r="J4" i="6" s="1"/>
  <c r="R8" i="2"/>
  <c r="S8" i="2" s="1"/>
  <c r="H8" i="2" s="1"/>
  <c r="R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F13" i="6" l="1"/>
  <c r="F21" i="6"/>
  <c r="J13" i="6"/>
  <c r="J21" i="6"/>
  <c r="E4" i="6"/>
  <c r="E20" i="6"/>
  <c r="F6" i="6"/>
  <c r="F14" i="6"/>
  <c r="F22" i="6"/>
  <c r="F30" i="6"/>
  <c r="I4" i="6"/>
  <c r="I20" i="6"/>
  <c r="J6" i="6"/>
  <c r="J14" i="6"/>
  <c r="J22" i="6"/>
  <c r="J30" i="6"/>
  <c r="E21" i="6"/>
  <c r="H19" i="6"/>
  <c r="L27" i="6"/>
  <c r="E6" i="6"/>
  <c r="E14" i="6"/>
  <c r="E22" i="6"/>
  <c r="E30" i="6"/>
  <c r="H4" i="6"/>
  <c r="H20" i="6"/>
  <c r="I6" i="6"/>
  <c r="I14" i="6"/>
  <c r="I22" i="6"/>
  <c r="I30" i="6"/>
  <c r="L4" i="6"/>
  <c r="L20" i="6"/>
  <c r="E13" i="6"/>
  <c r="H27" i="6"/>
  <c r="I13" i="6"/>
  <c r="I21" i="6"/>
  <c r="L19" i="6"/>
  <c r="G19" i="6"/>
  <c r="G27" i="6"/>
  <c r="H13" i="6"/>
  <c r="H21" i="6"/>
  <c r="K19" i="6"/>
  <c r="K27" i="6"/>
  <c r="L13" i="6"/>
  <c r="L21" i="6"/>
  <c r="M4" i="2"/>
  <c r="G4" i="6"/>
  <c r="G20" i="6"/>
  <c r="H6" i="6"/>
  <c r="H14" i="6"/>
  <c r="H22" i="6"/>
  <c r="H30" i="6"/>
  <c r="K4" i="6"/>
  <c r="K20" i="6"/>
  <c r="L6" i="6"/>
  <c r="L14" i="6"/>
  <c r="L22" i="6"/>
  <c r="L30" i="6"/>
  <c r="F19" i="6"/>
  <c r="F27" i="6"/>
  <c r="G13" i="6"/>
  <c r="G21" i="6"/>
  <c r="F4" i="6"/>
  <c r="F20" i="6"/>
  <c r="G6" i="6"/>
  <c r="G14" i="6"/>
  <c r="G22" i="6"/>
  <c r="G30" i="6"/>
  <c r="H18" i="2"/>
  <c r="H26" i="2"/>
  <c r="H9" i="2"/>
  <c r="H25" i="2"/>
  <c r="H11" i="2"/>
  <c r="H19" i="2"/>
  <c r="H27" i="2"/>
  <c r="H35" i="2"/>
  <c r="H24" i="2"/>
  <c r="H32" i="2"/>
  <c r="S21" i="2"/>
  <c r="B14" i="4" a="1"/>
  <c r="B14" i="4" s="1"/>
  <c r="T9" i="2"/>
  <c r="T24" i="2"/>
  <c r="T25" i="2"/>
  <c r="S17" i="2"/>
  <c r="B15" i="4" a="1"/>
  <c r="B15" i="4" s="1"/>
  <c r="E15" i="4" s="1"/>
  <c r="B16" i="4" a="1"/>
  <c r="B16" i="4" s="1"/>
  <c r="B17" i="4" a="1"/>
  <c r="B17" i="4" s="1"/>
  <c r="B11" i="4" a="1"/>
  <c r="B11" i="4" s="1"/>
  <c r="B18" i="4" a="1"/>
  <c r="B18" i="4" s="1"/>
  <c r="T8" i="2"/>
  <c r="B12" i="4" a="1"/>
  <c r="B12" i="4" s="1"/>
  <c r="B19" i="4" a="1"/>
  <c r="B19" i="4" s="1"/>
  <c r="B13" i="4" a="1"/>
  <c r="B13" i="4" s="1"/>
  <c r="B20" i="4" a="1"/>
  <c r="B20" i="4" s="1"/>
  <c r="S16" i="2"/>
  <c r="T32" i="2"/>
  <c r="S13" i="2"/>
  <c r="S23" i="2"/>
  <c r="S33" i="2"/>
  <c r="S12" i="2"/>
  <c r="S22" i="2"/>
  <c r="S14" i="2"/>
  <c r="S36" i="2"/>
  <c r="S15" i="2"/>
  <c r="T7" i="2"/>
  <c r="I15" i="4" s="1"/>
  <c r="S29" i="2"/>
  <c r="S31" i="2"/>
  <c r="S28" i="2"/>
  <c r="S7" i="2"/>
  <c r="S20" i="2"/>
  <c r="S30" i="2"/>
  <c r="T10" i="2"/>
  <c r="T18" i="2"/>
  <c r="T26" i="2"/>
  <c r="S10" i="2"/>
  <c r="H10" i="2" s="1"/>
  <c r="S34" i="2"/>
  <c r="G6" i="1"/>
  <c r="T11" i="2"/>
  <c r="T19" i="2"/>
  <c r="T27" i="2"/>
  <c r="T35" i="2"/>
  <c r="J4" i="4"/>
  <c r="D3" i="6"/>
  <c r="A11" i="11" l="1" a="1"/>
  <c r="A11" i="11" s="1"/>
  <c r="J3" i="6"/>
  <c r="F3" i="6"/>
  <c r="K3" i="6"/>
  <c r="G3" i="6"/>
  <c r="L3" i="6"/>
  <c r="H3" i="6"/>
  <c r="I3" i="6"/>
  <c r="E3" i="6"/>
  <c r="D10" i="6"/>
  <c r="H15" i="2"/>
  <c r="D31" i="6"/>
  <c r="H36" i="2"/>
  <c r="D11" i="6"/>
  <c r="H16" i="2"/>
  <c r="D15" i="6"/>
  <c r="H20" i="2"/>
  <c r="D9" i="6"/>
  <c r="H14" i="2"/>
  <c r="F15" i="4"/>
  <c r="A5" i="11"/>
  <c r="E4" i="2"/>
  <c r="H7" i="2"/>
  <c r="D17" i="6"/>
  <c r="H22" i="2"/>
  <c r="D29" i="6"/>
  <c r="H34" i="2"/>
  <c r="D25" i="6"/>
  <c r="H30" i="2"/>
  <c r="D23" i="6"/>
  <c r="H28" i="2"/>
  <c r="D7" i="6"/>
  <c r="H12" i="2"/>
  <c r="D12" i="6"/>
  <c r="H17" i="2"/>
  <c r="D26" i="6"/>
  <c r="H31" i="2"/>
  <c r="D28" i="6"/>
  <c r="H33" i="2"/>
  <c r="D24" i="6"/>
  <c r="H29" i="2"/>
  <c r="D18" i="6"/>
  <c r="H23" i="2"/>
  <c r="C15" i="4"/>
  <c r="D8" i="6"/>
  <c r="H13" i="2"/>
  <c r="E5" i="11" a="1"/>
  <c r="E5" i="11" s="1"/>
  <c r="D16" i="6"/>
  <c r="H21" i="2"/>
  <c r="L14" i="4"/>
  <c r="G15" i="4"/>
  <c r="A24" i="4" a="1"/>
  <c r="A24" i="4" s="1"/>
  <c r="K24" i="4" s="1"/>
  <c r="D15" i="4"/>
  <c r="A27" i="4" a="1"/>
  <c r="A27" i="4" s="1"/>
  <c r="C27" i="4" s="1"/>
  <c r="H15" i="4"/>
  <c r="A25" i="4" a="1"/>
  <c r="A25" i="4" s="1"/>
  <c r="I25" i="4" s="1"/>
  <c r="L12" i="4"/>
  <c r="A5" i="4"/>
  <c r="I10" i="3"/>
  <c r="J10" i="3" s="1"/>
  <c r="A4" i="3"/>
  <c r="A5" i="3"/>
  <c r="L11" i="4"/>
  <c r="L13" i="4"/>
  <c r="D2" i="6"/>
  <c r="I11" i="3"/>
  <c r="J11" i="3" s="1"/>
  <c r="A26" i="4" a="1"/>
  <c r="A26" i="4" s="1"/>
  <c r="B26" i="4" s="1"/>
  <c r="I16" i="4"/>
  <c r="E16" i="4"/>
  <c r="H16" i="4"/>
  <c r="D16" i="4"/>
  <c r="G16" i="4"/>
  <c r="C16" i="4"/>
  <c r="F16" i="4"/>
  <c r="H19" i="4"/>
  <c r="D19" i="4"/>
  <c r="G19" i="4"/>
  <c r="C19" i="4"/>
  <c r="F19" i="4"/>
  <c r="I19" i="4"/>
  <c r="E19" i="4"/>
  <c r="I13" i="3"/>
  <c r="J13" i="3" s="1"/>
  <c r="I12" i="3"/>
  <c r="J12" i="3" s="1"/>
  <c r="H11" i="4"/>
  <c r="D11" i="4"/>
  <c r="G11" i="4"/>
  <c r="C11" i="4"/>
  <c r="F11" i="4"/>
  <c r="I11" i="4"/>
  <c r="E11" i="4"/>
  <c r="G13" i="4"/>
  <c r="C13" i="4"/>
  <c r="F13" i="4"/>
  <c r="I13" i="4"/>
  <c r="E13" i="4"/>
  <c r="H13" i="4"/>
  <c r="D13" i="4"/>
  <c r="B24" i="4"/>
  <c r="J4" i="3"/>
  <c r="D4" i="3"/>
  <c r="D5" i="6"/>
  <c r="G4" i="3"/>
  <c r="H18" i="4"/>
  <c r="D18" i="4"/>
  <c r="G18" i="4"/>
  <c r="C18" i="4"/>
  <c r="F18" i="4"/>
  <c r="I18" i="4"/>
  <c r="E18" i="4"/>
  <c r="G12" i="4"/>
  <c r="C12" i="4"/>
  <c r="F12" i="4"/>
  <c r="I12" i="4"/>
  <c r="E12" i="4"/>
  <c r="H12" i="4"/>
  <c r="D12" i="4"/>
  <c r="G20" i="4"/>
  <c r="C20" i="4"/>
  <c r="F20" i="4"/>
  <c r="I20" i="4"/>
  <c r="E20" i="4"/>
  <c r="H20" i="4"/>
  <c r="D20" i="4"/>
  <c r="F14" i="4"/>
  <c r="I14" i="4"/>
  <c r="E14" i="4"/>
  <c r="H14" i="4"/>
  <c r="D14" i="4"/>
  <c r="G14" i="4"/>
  <c r="C14" i="4"/>
  <c r="I17" i="4"/>
  <c r="E17" i="4"/>
  <c r="H17" i="4"/>
  <c r="D17" i="4"/>
  <c r="G17" i="4"/>
  <c r="C17" i="4"/>
  <c r="F17" i="4"/>
  <c r="D4" i="4"/>
  <c r="C6" i="1"/>
  <c r="I2" i="6" l="1"/>
  <c r="E2" i="6"/>
  <c r="J2" i="6"/>
  <c r="F2" i="6"/>
  <c r="K2" i="6"/>
  <c r="G2" i="6"/>
  <c r="L2" i="6"/>
  <c r="H2" i="6"/>
  <c r="L15" i="6"/>
  <c r="H15" i="6"/>
  <c r="I15" i="6"/>
  <c r="E15" i="6"/>
  <c r="J15" i="6"/>
  <c r="F15" i="6"/>
  <c r="K15" i="6"/>
  <c r="G15" i="6"/>
  <c r="L8" i="6"/>
  <c r="H8" i="6"/>
  <c r="I8" i="6"/>
  <c r="E8" i="6"/>
  <c r="J8" i="6"/>
  <c r="F8" i="6"/>
  <c r="K8" i="6"/>
  <c r="G8" i="6"/>
  <c r="J28" i="6"/>
  <c r="F28" i="6"/>
  <c r="K28" i="6"/>
  <c r="G28" i="6"/>
  <c r="L28" i="6"/>
  <c r="H28" i="6"/>
  <c r="I28" i="6"/>
  <c r="E28" i="6"/>
  <c r="L23" i="6"/>
  <c r="H23" i="6"/>
  <c r="I23" i="6"/>
  <c r="E23" i="6"/>
  <c r="J23" i="6"/>
  <c r="F23" i="6"/>
  <c r="K23" i="6"/>
  <c r="G23" i="6"/>
  <c r="J11" i="6"/>
  <c r="F11" i="6"/>
  <c r="K11" i="6"/>
  <c r="G11" i="6"/>
  <c r="H11" i="6"/>
  <c r="L11" i="6"/>
  <c r="I11" i="6"/>
  <c r="E11" i="6"/>
  <c r="I26" i="6"/>
  <c r="E26" i="6"/>
  <c r="J26" i="6"/>
  <c r="F26" i="6"/>
  <c r="K26" i="6"/>
  <c r="G26" i="6"/>
  <c r="L26" i="6"/>
  <c r="H26" i="6"/>
  <c r="I25" i="6"/>
  <c r="E25" i="6"/>
  <c r="J25" i="6"/>
  <c r="F25" i="6"/>
  <c r="K25" i="6"/>
  <c r="G25" i="6"/>
  <c r="L25" i="6"/>
  <c r="H25" i="6"/>
  <c r="L31" i="6"/>
  <c r="H31" i="6"/>
  <c r="I31" i="6"/>
  <c r="E31" i="6"/>
  <c r="J31" i="6"/>
  <c r="F31" i="6"/>
  <c r="K31" i="6"/>
  <c r="G31" i="6"/>
  <c r="K5" i="6"/>
  <c r="G5" i="6"/>
  <c r="L5" i="6"/>
  <c r="H5" i="6"/>
  <c r="I5" i="6"/>
  <c r="E5" i="6"/>
  <c r="J5" i="6"/>
  <c r="F5" i="6"/>
  <c r="I18" i="6"/>
  <c r="E18" i="6"/>
  <c r="J18" i="6"/>
  <c r="F18" i="6"/>
  <c r="K18" i="6"/>
  <c r="G18" i="6"/>
  <c r="L18" i="6"/>
  <c r="H18" i="6"/>
  <c r="J12" i="6"/>
  <c r="F12" i="6"/>
  <c r="K12" i="6"/>
  <c r="G12" i="6"/>
  <c r="L12" i="6"/>
  <c r="H12" i="6"/>
  <c r="I12" i="6"/>
  <c r="E12" i="6"/>
  <c r="K29" i="6"/>
  <c r="G29" i="6"/>
  <c r="L29" i="6"/>
  <c r="H29" i="6"/>
  <c r="I29" i="6"/>
  <c r="E29" i="6"/>
  <c r="J29" i="6"/>
  <c r="F29" i="6"/>
  <c r="I9" i="6"/>
  <c r="E9" i="6"/>
  <c r="J9" i="6"/>
  <c r="F9" i="6"/>
  <c r="K9" i="6"/>
  <c r="G9" i="6"/>
  <c r="L9" i="6"/>
  <c r="H9" i="6"/>
  <c r="I10" i="6"/>
  <c r="E10" i="6"/>
  <c r="J10" i="6"/>
  <c r="F10" i="6"/>
  <c r="K10" i="6"/>
  <c r="G10" i="6"/>
  <c r="L10" i="6"/>
  <c r="H10" i="6"/>
  <c r="L16" i="6"/>
  <c r="H16" i="6"/>
  <c r="I16" i="6"/>
  <c r="E16" i="6"/>
  <c r="J16" i="6"/>
  <c r="F16" i="6"/>
  <c r="K16" i="6"/>
  <c r="G16" i="6"/>
  <c r="L24" i="6"/>
  <c r="H24" i="6"/>
  <c r="I24" i="6"/>
  <c r="E24" i="6"/>
  <c r="J24" i="6"/>
  <c r="F24" i="6"/>
  <c r="K24" i="6"/>
  <c r="G24" i="6"/>
  <c r="L7" i="6"/>
  <c r="H7" i="6"/>
  <c r="I7" i="6"/>
  <c r="E7" i="6"/>
  <c r="J7" i="6"/>
  <c r="F7" i="6"/>
  <c r="K7" i="6"/>
  <c r="G7" i="6"/>
  <c r="I17" i="6"/>
  <c r="E17" i="6"/>
  <c r="J17" i="6"/>
  <c r="F17" i="6"/>
  <c r="K17" i="6"/>
  <c r="G17" i="6"/>
  <c r="L17" i="6"/>
  <c r="H17" i="6"/>
  <c r="C24" i="4"/>
  <c r="I24" i="4"/>
  <c r="I27" i="4"/>
  <c r="K27" i="4"/>
  <c r="B27" i="4"/>
  <c r="C25" i="4"/>
  <c r="K25" i="4"/>
  <c r="B25" i="4"/>
  <c r="K26" i="4"/>
  <c r="C26" i="4"/>
  <c r="I26"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<sst xmlns="http://schemas.openxmlformats.org/spreadsheetml/2006/main" count="944" uniqueCount="733">
  <si>
    <t>Risk ID</t>
  </si>
  <si>
    <t>Risk Title</t>
  </si>
  <si>
    <t>Risk Description</t>
  </si>
  <si>
    <t>Category</t>
  </si>
  <si>
    <t>AIFMD / Regulatory Reference</t>
  </si>
  <si>
    <t>Risk Owner</t>
  </si>
  <si>
    <t>Inherent Likelihood (1-5)</t>
  </si>
  <si>
    <t>Inherent Impact (1-5)</t>
  </si>
  <si>
    <t>Inherent Score (L×I)</t>
  </si>
  <si>
    <t>Primary Control</t>
  </si>
  <si>
    <t>Control Effectiveness (Strong/Adequate/Weak)</t>
  </si>
  <si>
    <t>Control Description</t>
  </si>
  <si>
    <t>Residual Likelihood (1-5)</t>
  </si>
  <si>
    <t>Residual Impact (1-5)</t>
  </si>
  <si>
    <t>Residual Score (L×I)</t>
  </si>
  <si>
    <t>Risk Zone</t>
  </si>
  <si>
    <t>Remediation Priority</t>
  </si>
  <si>
    <t>Notes / Next Steps</t>
  </si>
  <si>
    <t>R001</t>
  </si>
  <si>
    <t>Counterparty credit default — private credit borrowers</t>
  </si>
  <si>
    <t>Default or significant downgrade of a large corporate borrower in the private credit sub-fund leading to principal loss and NAV impairment</t>
  </si>
  <si>
    <t>Credit</t>
  </si>
  <si>
    <t>Portfolio Manager</t>
  </si>
  <si>
    <t>Counterparty credit approval policy and single-obligor concentration limits</t>
  </si>
  <si>
    <t>Adequate</t>
  </si>
  <si>
    <t>Credit approval workflow, periodic credit review, watchlist monitoring, and obligor exposure limits enforced by quarterly credit committee</t>
  </si>
  <si>
    <t>Amber — High</t>
  </si>
  <si>
    <t>Tighten single-obligor limits below 5% NAV; automate breach alerts; increase watchlist review to monthly for sub-investment-grade borrowers</t>
  </si>
  <si>
    <t>R002</t>
  </si>
  <si>
    <t>Sovereign and issuer credit deterioration in CLO tranches</t>
  </si>
  <si>
    <t>Rapid credit deterioration of underlying CLO issuers causing mark-to-market losses on CLO tranche holdings</t>
  </si>
  <si>
    <t>Head of Risk</t>
  </si>
  <si>
    <t>Ongoing credit monitoring and quarterly stress testing</t>
  </si>
  <si>
    <t>Monthly credit committee review, quarterly stress tests with three scenarios (base, adverse, severe), trigger-based escalation</t>
  </si>
  <si>
    <t>Yellow — Moderate</t>
  </si>
  <si>
    <t>Increase stress testing frequency to monthly for CLO sub-portfolio; expand scenarios to include issuer correlation shocks</t>
  </si>
  <si>
    <t>R003</t>
  </si>
  <si>
    <t>Counterparty settlement failure</t>
  </si>
  <si>
    <t>Settlement fails with prime broker or custodian causing operational loss, liquidity outflow, or margin call failure</t>
  </si>
  <si>
    <t>Credit / Operational</t>
  </si>
  <si>
    <t>AIFMD Art. 15; Art. 21 (depositary obligations)</t>
  </si>
  <si>
    <t>Operations Manager</t>
  </si>
  <si>
    <t>Counterparty SLA framework and daily collateralisation</t>
  </si>
  <si>
    <t>Strong</t>
  </si>
  <si>
    <t>Daily trade reconciliation, intraday collateral calls, custodial settlement confirmations, auto-escalation for T+1 fails</t>
  </si>
  <si>
    <t>Formalise escalation procedures; pre-identify alternative settlement counterparties for critical instrument types</t>
  </si>
  <si>
    <t>R004</t>
  </si>
  <si>
    <t>Concentration risk — single issuer or top-10 holdings</t>
  </si>
  <si>
    <t>Overweight in a small number of issuers producing outsized NAV volatility if any single issuer experiences distress</t>
  </si>
  <si>
    <t>Market / Concentration</t>
  </si>
  <si>
    <t>Position limits and portfolio diversification policy</t>
  </si>
  <si>
    <t>Top-10 concentration limits capped at 10% single issuer; monthly compliance checks against mandate limits; PM sign-off for breaches</t>
  </si>
  <si>
    <t>Reduce single-issuer hard limit to 7.5% NAV; implement real-time breach alerts via order management system; escalate concentrations &gt;5% to risk committee</t>
  </si>
  <si>
    <t>R005</t>
  </si>
  <si>
    <t>Equity market downturn — systemic shock</t>
  </si>
  <si>
    <t>Broad market shock (e.g., financial crisis, geopolitical event) causes severe mark-to-market losses across the listed equity sub-fund</t>
  </si>
  <si>
    <t>Market</t>
  </si>
  <si>
    <t>AIFMD Art. 15(3)(c); ESMA Guidelines on stress testing</t>
  </si>
  <si>
    <t>Head of Portfolio</t>
  </si>
  <si>
    <t>Strategic asset allocation policy and dynamic hedging</t>
  </si>
  <si>
    <t>Dynamic equity index hedges using futures and options; stop-loss triggers at -8% drawdown; SAA reviewed semi-annually</t>
  </si>
  <si>
    <t>Red — Critical</t>
  </si>
  <si>
    <t>Formalise forward hedging capacity constraints; test collateral impact of hedge positions under illiquidity; increase hedge review frequency</t>
  </si>
  <si>
    <t>R006</t>
  </si>
  <si>
    <t>Interest rate risk on fixed-income and private credit</t>
  </si>
  <si>
    <t>Rising interest rates cause valuation losses across the private credit sleeve and reduce the mark-to-model value of CLO tranches</t>
  </si>
  <si>
    <t>Duration limits and interest rate stress testing framework</t>
  </si>
  <si>
    <t>Duration gap monitored monthly; scenario analysis under +50bps, +100bps, +200bps rate shocks applied quarterly</t>
  </si>
  <si>
    <t>Introduce interest rate hedging instruments (IRS or caps); monitor funding impact of margin calls on hedge positions; link rate shock scenarios to liquidity stress</t>
  </si>
  <si>
    <t>R007</t>
  </si>
  <si>
    <t>Liquidity mismatch — investor redemptions vs illiquid assets</t>
  </si>
  <si>
    <t>High redemption requests during a stress period while private credit and CLO assets are illiquid, leading to forced selling, gating, or NAV suspension</t>
  </si>
  <si>
    <t>Liquidity</t>
  </si>
  <si>
    <t>Head of Fund Operations</t>
  </si>
  <si>
    <t>Liquidity management policy and redemption notice periods / gates</t>
  </si>
  <si>
    <t>Weak</t>
  </si>
  <si>
    <t>Quarterly liquidity reports; redemption gates defined in constitutional documents; 90-day notice period for private credit sub-fund</t>
  </si>
  <si>
    <t>Run weekly redemption stress scenarios immediately; secure committed credit facility or repo line; codify hard gate trigger thresholds; develop investor communication playbook</t>
  </si>
  <si>
    <t>R008</t>
  </si>
  <si>
    <t>Cash flow forecasting error</t>
  </si>
  <si>
    <t>Incorrect or delayed cash forecasts causing missed margin calls, overdraft positions, or forced asset sales at distressed prices</t>
  </si>
  <si>
    <t>Treasury Manager</t>
  </si>
  <si>
    <t>Cash forecasting procedures and daily reporting</t>
  </si>
  <si>
    <t>Daily cash position reporting; weekly 13-week cashflow forecasts; reconciliation with depositary cash accounts</t>
  </si>
  <si>
    <t>Automate cashflow input from prime broker and depositary feeds; increase reconciliation frequency to T+0 for settlement cash; stress-test cashflow under spike redemption scenarios</t>
  </si>
  <si>
    <t>R009</t>
  </si>
  <si>
    <t>Currency mismatch and unhedged FX exposure</t>
  </si>
  <si>
    <t>Unhedged or under-hedged foreign currency exposures in non-euro denominated holdings causing NAV volatility and potential losses</t>
  </si>
  <si>
    <t>Market / Treasury</t>
  </si>
  <si>
    <t>AIFMD Art. 15(3)(c)</t>
  </si>
  <si>
    <t>FX hedging policy and currency exposure limits</t>
  </si>
  <si>
    <t>Monthly FX exposure report; rolling 1-month FX forward hedging program; limit on unhedged exposure &lt; 5% NAV</t>
  </si>
  <si>
    <t>Implement bi-weekly rebalancing of FX hedges; optimise hedge ratios using rolling 3-month forwards; add FX sensitivity analysis to monthly risk report</t>
  </si>
  <si>
    <t>R010</t>
  </si>
  <si>
    <t>Valuation error — illiquid assets (private credit and CLOs)</t>
  </si>
  <si>
    <t>Incorrect NAV calculation due to inadequate or stale valuation of private credit loans and CLO tranche holdings, causing mispriced investor transactions</t>
  </si>
  <si>
    <t>Operational / Market</t>
  </si>
  <si>
    <t>Valuation Lead</t>
  </si>
  <si>
    <t>Independent valuation policy and fair value committee</t>
  </si>
  <si>
    <t>Quarterly external valuation by Kroll Advisory; internal valuation model applied between external cycles; limited independent price sources for CLO sub-investment-grade tranches</t>
  </si>
  <si>
    <t>Engage independent valuers for top 20 illiquid positions monthly; tighten valuation committee documentation standards; increase frequency to monthly; adopt IPEV Guidelines as formal policy</t>
  </si>
  <si>
    <t>R011</t>
  </si>
  <si>
    <t>NAV miscalculation — fund accounting error</t>
  </si>
  <si>
    <t>Mathematical or data input error in NAV calculation process causing mispriced investor subscriptions or redemptions and incorrect regulatory reporting</t>
  </si>
  <si>
    <t>Operational</t>
  </si>
  <si>
    <t>Fund Accountant</t>
  </si>
  <si>
    <t>Independent NAV check procedure and reconciliation</t>
  </si>
  <si>
    <t>Two-person review and sign-off on NAV; automated reconciliation against depositary records; swing pricing applied for large redemptions</t>
  </si>
  <si>
    <t>Expand reconciliation coverage to cover all asset types including accrued income; run monthly NAV calculation resilience drills; test edge cases (mid-month pricing, swing pricing triggers)</t>
  </si>
  <si>
    <t>R012</t>
  </si>
  <si>
    <t>Model risk — valuation and risk models</t>
  </si>
  <si>
    <t>Errors, wrong assumptions, or outdated parameters in pricing models and risk models causing incorrect risk measures and investment decisions</t>
  </si>
  <si>
    <t>Operational / Model</t>
  </si>
  <si>
    <t>Model validation and governance framework</t>
  </si>
  <si>
    <t>Independent model validation conducted annually; version control and change log maintained; backtesting of risk models quarterly</t>
  </si>
  <si>
    <t>Establish formal model inventory with materiality tiers; set remediation SLAs for model deficiencies; include model risk in quarterly risk committee report</t>
  </si>
  <si>
    <t>R013</t>
  </si>
  <si>
    <t>Pricing vendor outage or data quality failure</t>
  </si>
  <si>
    <t>Third-party market data or pricing vendor failure resulting in stale, missing, or erroneous prices used in NAV calculation</t>
  </si>
  <si>
    <t>Operational / Third-Party</t>
  </si>
  <si>
    <t>Head of Operations</t>
  </si>
  <si>
    <t>Diversified pricing vendor policy and fallback procedures</t>
  </si>
  <si>
    <t>Secondary pricing vendor contracted (Bloomberg as primary, ICE Data Services as secondary); manual override procedures documented</t>
  </si>
  <si>
    <t>Run annual vendor failover test; review SLA penalty clauses; add vendor outage scenario to BCP test agenda</t>
  </si>
  <si>
    <t>R014</t>
  </si>
  <si>
    <t>Counterparty concentration — single custodian and prime broker</t>
  </si>
  <si>
    <t>Operational overreliance on a single custodian (BankCustody Luxembourg) and prime broker (Morgan Stanley) for multiple critical services, creating single-point-of-failure risk</t>
  </si>
  <si>
    <t>CFO</t>
  </si>
  <si>
    <t>Counterparty due diligence framework and service level agreements</t>
  </si>
  <si>
    <t>Single primary custodian for all assets; prime broker not duplicated; quarterly SLA review conducted; no operationally tested alternative</t>
  </si>
  <si>
    <t>Identify and onboard alternative sub-custodian; negotiate triparty custody backup arrangement; operationally test custodian failover; escalate to board</t>
  </si>
  <si>
    <t>R015</t>
  </si>
  <si>
    <t>Regulatory non-compliance — CSSF / AIFMD requirements</t>
  </si>
  <si>
    <t>Failure to meet AIFMD or CSSF reporting, capital, or conduct requirements, leading to supervisory sanctions, fines, or licence restriction</t>
  </si>
  <si>
    <t>Regulatory / Compliance</t>
  </si>
  <si>
    <t>Head of Compliance</t>
  </si>
  <si>
    <t>Compliance monitoring programme and regulatory reporting calendar</t>
  </si>
  <si>
    <t>Quarterly AIFMD Annex II reporting to CSSF; regulatory change monitoring process; annual independent compliance review</t>
  </si>
  <si>
    <t>Strengthen automated regulatory change scanning (subscribe to CSSF regulatory feed); conduct annual external compliance health-check; map new CSSF circular requirements to internal controls within 30 days of publication</t>
  </si>
  <si>
    <t>R016</t>
  </si>
  <si>
    <t>AML / KYC failure — investor onboarding and monitoring</t>
  </si>
  <si>
    <t>Inadequate KYC or ongoing monitoring of investors leading to onboarding prohibited counterparties, sanctions breaches, or regulatory penalties</t>
  </si>
  <si>
    <t>Compliance</t>
  </si>
  <si>
    <t>EU AML Directives; Luxembourg AML Law of 12 November 2004 (as amended); CSSF Reg. 12-02</t>
  </si>
  <si>
    <t>Head of KYC / Compliance</t>
  </si>
  <si>
    <t>AML / KYC policy and automated screening tools</t>
  </si>
  <si>
    <t>Automated sanctions and PEP screening (ComplyAdvantage); risk-based KYC refresh cycle; enhanced due diligence for high-risk investors</t>
  </si>
  <si>
    <t>Increase KYC refresh frequency for high-risk investors to 12 months; improve audit trail for EDD documentation; add adverse media screening; review UBO documentation standards</t>
  </si>
  <si>
    <t>R017</t>
  </si>
  <si>
    <t>Key-person dependency — operational staff</t>
  </si>
  <si>
    <t>Loss or prolonged absence of key individuals (fund accountant, PM, Head of Risk) causing material disruption to fund operations, NAV calculation, or investment process</t>
  </si>
  <si>
    <t>Operational / HR</t>
  </si>
  <si>
    <t>AIFMD Art. 18; CSSF Circ. 18/698 §23</t>
  </si>
  <si>
    <t>Head of HR</t>
  </si>
  <si>
    <t>Succession planning and cross-training programme</t>
  </si>
  <si>
    <t>Informal succession arrangements; limited documented procedures; significant dependency on two individuals for NAV and portfolio management processes</t>
  </si>
  <si>
    <t>Formalise backup designations for all critical roles; document step-by-step procedures for each critical process; update succession plan and present to board within 60 days</t>
  </si>
  <si>
    <t>R018</t>
  </si>
  <si>
    <t>IT outage or cyber incident</t>
  </si>
  <si>
    <t>Major IT infrastructure failure or targeted cyber attack (ransomware, phishing, DDoS) causing trade disruption, data loss, investor data breach, or service unavailability</t>
  </si>
  <si>
    <t>Operational / Cyber</t>
  </si>
  <si>
    <t>IT Manager</t>
  </si>
  <si>
    <t>IT disaster recovery plan and cyber security controls</t>
  </si>
  <si>
    <t>Encrypted backups (daily, offsite); multi-factor authentication; firewall and endpoint detection; formal incident response plan maintained</t>
  </si>
  <si>
    <t>Commission third-party penetration test; run annual tabletop cyber exercise with senior management; validate RTO &lt; 4 hours for critical systems; review cyber insurance coverage</t>
  </si>
  <si>
    <t>R019</t>
  </si>
  <si>
    <t>Data quality and integrity failures</t>
  </si>
  <si>
    <t>Poor quality, incomplete, or inconsistent data inputs from internal systems or external providers causing incorrect risk reports, investment decisions, or regulatory submissions</t>
  </si>
  <si>
    <t>Operational / Data</t>
  </si>
  <si>
    <t>AIFMD Art. 15; Art. 22</t>
  </si>
  <si>
    <t>Data Manager</t>
  </si>
  <si>
    <t>Data governance framework and automated reconciliation controls</t>
  </si>
  <si>
    <t>Data validation rules and quality checks embedded in NAV system; data lineage mapping for key risk metrics; reconciliation between OMS, custodian, and risk systems</t>
  </si>
  <si>
    <t>Implement data quality KPIs tracked monthly; add automated alerts for data completeness failures; expand data lineage to cover CLO cash flow inputs</t>
  </si>
  <si>
    <t>R020</t>
  </si>
  <si>
    <t>Third-party service provider failure — administrator or TA</t>
  </si>
  <si>
    <t>Failure of transfer agent or fund administrator causing investor servicing outage, delayed NAV publication, or reporting failure</t>
  </si>
  <si>
    <t>Vendor due diligence programme and SLA monitoring</t>
  </si>
  <si>
    <t>Quarterly KPI reviews with key vendors; vendor onboarding due diligence checklist; escalation procedures documented</t>
  </si>
  <si>
    <t>Add contractual business continuity obligations to vendor agreements; require vendors to submit annual BCP test results; establish contingency agreements with alternative administrators</t>
  </si>
  <si>
    <t>R021</t>
  </si>
  <si>
    <t>Fraud and internal financial misconduct</t>
  </si>
  <si>
    <t>Intentional misreporting, misappropriation, or fraudulent activity by internal staff causing financial loss, reputational damage, and regulatory investigation</t>
  </si>
  <si>
    <t>Operational / Conduct</t>
  </si>
  <si>
    <t>Segregation of duties, audit trails, and whistleblower policy</t>
  </si>
  <si>
    <t>Four-eyes principle for payments and NAV sign-off; role-based access controls; anonymous whistleblower hotline; annual internal audit coverage</t>
  </si>
  <si>
    <t>Green — Low</t>
  </si>
  <si>
    <t>Promote ongoing fraud awareness training; strengthen transaction monitoring analytics; review access privilege logs semi-annually</t>
  </si>
  <si>
    <t>R022</t>
  </si>
  <si>
    <t>Legal dispute and contractual breach</t>
  </si>
  <si>
    <t>Litigation with investors, counterparties, or third parties arising from contract ambiguity, alleged mis-selling, or performance disputes</t>
  </si>
  <si>
    <t>Operational / Legal</t>
  </si>
  <si>
    <t>Luxembourg Civil Code; AIFMD Art. 12 (general principles)</t>
  </si>
  <si>
    <t>Legal Counsel</t>
  </si>
  <si>
    <t>Contract review procedures and legal sign-off process</t>
  </si>
  <si>
    <t>Standard ISDA/ISLA contractual templates; legal review required for bespoke agreements above EUR 500k; quarterly review of open legal matters</t>
  </si>
  <si>
    <t>Increase legal budget allocation for proactive contract review; update standard agreement templates annually; document key contractual rights for all fund documents</t>
  </si>
  <si>
    <t>R023</t>
  </si>
  <si>
    <t>Tax risk — incorrect treatment and transfer pricing</t>
  </si>
  <si>
    <t>Incorrect tax treatment, tax reporting errors, or transfer pricing adjustments leading to unexpected tax liabilities, penalties, or reputational harm</t>
  </si>
  <si>
    <t>Regulatory / Tax</t>
  </si>
  <si>
    <t>Luxembourg Income Tax Law; EU Anti-Tax Avoidance Directives (ATAD); DAC6 (cross-border arrangements)</t>
  </si>
  <si>
    <t>External tax advice and quarterly tax reviews</t>
  </si>
  <si>
    <t>Annual tax provisioning with Big Four review; quarterly external tax advisory sessions; DAC6 disclosure process maintained</t>
  </si>
  <si>
    <t>Obtain frequent external tax opinions for novel financial instruments; monitor OECD Pillar 2 implications on fund structure; review tax position at each new instrument type</t>
  </si>
  <si>
    <t>R024</t>
  </si>
  <si>
    <t>Investment mandate drift</t>
  </si>
  <si>
    <t>Portfolio deviates from the stated investment mandate or prospectus constraints, causing investor disputes, regulatory breach, and reputational damage</t>
  </si>
  <si>
    <t>Governance / Operational</t>
  </si>
  <si>
    <t>Chair of Investment Committee</t>
  </si>
  <si>
    <t>Investment mandate monitoring and committee oversight</t>
  </si>
  <si>
    <t>Monthly mandate compliance reporting; investment committee pre-approval for out-of-mandate instruments; PM certification at month-end</t>
  </si>
  <si>
    <t>Automate mandate compliance monitoring with real-time OMS alerts; define governance exceptions log; tighten investment committee escalation thresholds</t>
  </si>
  <si>
    <t>R025</t>
  </si>
  <si>
    <t>Internal controls over financial reporting (ICFR) failure</t>
  </si>
  <si>
    <t>Breakdown in controls over financial reporting processes resulting in materially misstated accounts, audit qualifications, or regulatory concern</t>
  </si>
  <si>
    <t>Operational / Financial</t>
  </si>
  <si>
    <t>Luxembourg Company Law; AIFMD Art. 22 (annual report requirements)</t>
  </si>
  <si>
    <t>Finance Controller</t>
  </si>
  <si>
    <t>ICFR framework and internal audit programme</t>
  </si>
  <si>
    <t>Quarterly control design and operating effectiveness testing; internal audit findings remediation log; annual external audit</t>
  </si>
  <si>
    <t>Increase control testing frequency to quarterly for highest-risk ICFR processes; ensure audit trail completeness for all manual journal entries</t>
  </si>
  <si>
    <t>R026</t>
  </si>
  <si>
    <t>Reputational risk from ESG controversies</t>
  </si>
  <si>
    <t>Negative ESG event at an investee company (environmental scandal, governance breach, labour violation) causing investor complaints, redemption requests, or media damage</t>
  </si>
  <si>
    <t>Reputational / ESG</t>
  </si>
  <si>
    <t>SFDR Regulation 2019/2088 Art. 8; EU Taxonomy Regulation; AIFMD Art. 12</t>
  </si>
  <si>
    <t>Head of ESG</t>
  </si>
  <si>
    <t>ESG due diligence and engagement policy</t>
  </si>
  <si>
    <t>ESG pre-investment screening; SFDR PAI monitoring quarterly; engagement programme with investees; exclusion list maintained</t>
  </si>
  <si>
    <t>Expand ESG monitoring to continuous news and controversy alerts; establish escalation trigger for ESG scores below threshold; link ESG events to sell/engage decision governance</t>
  </si>
  <si>
    <t>R027</t>
  </si>
  <si>
    <t>Incorrect fee calculation or performance fee allocation</t>
  </si>
  <si>
    <t>Errors in management fee or performance fee calculations causing investor disputes, regulatory attention, or reputational harm</t>
  </si>
  <si>
    <t>AIFMD Art. 22; Luxembourg Law on AIFs</t>
  </si>
  <si>
    <t>Fee calculation procedures and automated audit trail</t>
  </si>
  <si>
    <t>Automated fee schedule embedded in accounting system; administrator cross-checks management fees monthly; performance fees subject to independent calculation verification</t>
  </si>
  <si>
    <t>Commission periodic third-party fee verification (annual); review fee calculation logic after any system upgrade; maintain change log for fee methodology revisions</t>
  </si>
  <si>
    <t>R028</t>
  </si>
  <si>
    <t>Business continuity plan (BCP) failure</t>
  </si>
  <si>
    <t>BCP not sufficiently robust or tested, causing prolonged service outage during a major disruption (pandemic, fire, severe weather, IT failure) and failure of investor service obligations</t>
  </si>
  <si>
    <t>Operational / BCP</t>
  </si>
  <si>
    <t>Business continuity plan and crisis management framework</t>
  </si>
  <si>
    <t>BCP documented but last tested 18 months ago; recovery time objectives (RTOs) not fully defined for all critical processes; limited third-party participation in exercises</t>
  </si>
  <si>
    <t>Run full BCP simulation with third-party participation within 30 days; define and document RTOs and RPOs for all critical processes; include custodian and TA in annual BCP test; report findings to board</t>
  </si>
  <si>
    <t>R029</t>
  </si>
  <si>
    <t>Market liquidity risk — listed equities execution</t>
  </si>
  <si>
    <t>Inability to execute large equity trades without significant market impact, particularly in small- or mid-cap positions, causing execution losses or delayed divestment</t>
  </si>
  <si>
    <t>Market liquidity limits and best-execution policy</t>
  </si>
  <si>
    <t>Execution algorithms applied for orders &gt; 1% ADV; market impact analysis integrated in OMS; liquidity buffer for top-10 positions monitored daily</t>
  </si>
  <si>
    <t>Add pre-trade market impact analytics for all equity orders &gt; EUR 5m; tighten liquidity limits for small-cap holdings; review best execution reports quarterly</t>
  </si>
  <si>
    <t>R030</t>
  </si>
  <si>
    <t>Sanctions screening insufficiency</t>
  </si>
  <si>
    <t>Inadequate or delayed screening of investors, counterparties, and issuers against EU/UN/OFAC sanctions lists, exposing the firm to prohibited transactions</t>
  </si>
  <si>
    <t>Automated sanctions screening and escalation process</t>
  </si>
  <si>
    <t>Automated real-time screening against consolidated EU/UN/OFAC lists (ComplyAdvantage daily refresh); manual review of hits; escalation to Compliance within 24 hours</t>
  </si>
  <si>
    <t>Increase list refresh frequency to real-time where technically feasible; add sector-based sanctions checks for CLO underlying issuers; conduct annual sanctions compliance audit</t>
  </si>
  <si>
    <t>EXECUTIVE SUMMARY</t>
  </si>
  <si>
    <t>LUXCAP ALTERNATIVES S.A. | ENTERPRISE RISK REGISTER</t>
  </si>
  <si>
    <t>RISKS ASSESSED</t>
  </si>
  <si>
    <t>CRITICAL RESIDUAL RISKS</t>
  </si>
  <si>
    <t>WEAK CONTROLS</t>
  </si>
  <si>
    <t>MAX RESIDUAL SCORE / 25</t>
  </si>
  <si>
    <t>EXECUTIVE CONTEXT</t>
  </si>
  <si>
    <t>INSTITUTIONAL PROFILE</t>
  </si>
  <si>
    <t>Legal name</t>
  </si>
  <si>
    <t>LuxCap Alternatives S.A.</t>
  </si>
  <si>
    <t>Regulatory status</t>
  </si>
  <si>
    <t>Legal form</t>
  </si>
  <si>
    <t>Société Anonyme (S.A.)</t>
  </si>
  <si>
    <t>Jurisdiction</t>
  </si>
  <si>
    <t>Luxembourg</t>
  </si>
  <si>
    <t>Registered office</t>
  </si>
  <si>
    <t>12 Rue du Fort Bourbon, L-1249 Luxembourg City</t>
  </si>
  <si>
    <t>Registration</t>
  </si>
  <si>
    <t>RCS Luxembourg B 247 581</t>
  </si>
  <si>
    <t>Business model</t>
  </si>
  <si>
    <t>Third-party AIFM managing mixed liquid and illiquid strategies</t>
  </si>
  <si>
    <t>Assets under management</t>
  </si>
  <si>
    <t>EUR 1.2 billion across two sub-funds</t>
  </si>
  <si>
    <t>Fund structure</t>
  </si>
  <si>
    <t>Luxembourg RAIF umbrella</t>
  </si>
  <si>
    <t>Investor base</t>
  </si>
  <si>
    <t>Approx. 140 institutional and professional investors</t>
  </si>
  <si>
    <t>Strategy mix</t>
  </si>
  <si>
    <t>50% European listed equities; 50% private credit and CLO tranches</t>
  </si>
  <si>
    <t>Sub-funds</t>
  </si>
  <si>
    <t>LuxCap Equity Alpha; LuxCap Private Credit</t>
  </si>
  <si>
    <t>RISK GOVERNANCE &amp; APPETITE</t>
  </si>
  <si>
    <t>Board oversight</t>
  </si>
  <si>
    <t>Three directors; majority independent</t>
  </si>
  <si>
    <t>Credit risk</t>
  </si>
  <si>
    <t>Moderate — obligor limits and watchlist escalation</t>
  </si>
  <si>
    <t>Committee structure</t>
  </si>
  <si>
    <t>Board Risk &amp; Compliance Committee; quarterly</t>
  </si>
  <si>
    <t>Market risk</t>
  </si>
  <si>
    <t>Moderate — hedging and stop-loss triggers</t>
  </si>
  <si>
    <t>Management forum</t>
  </si>
  <si>
    <t>Executive Risk Committee; monthly</t>
  </si>
  <si>
    <t>Liquidity risk</t>
  </si>
  <si>
    <t>Low — notice periods, gates and stress testing</t>
  </si>
  <si>
    <t>Independent function</t>
  </si>
  <si>
    <t>CRO supported by two Risk Analysts; independent of portfolio management</t>
  </si>
  <si>
    <t>Operational risk</t>
  </si>
  <si>
    <t>Low — no tolerance for regulatory capital breach</t>
  </si>
  <si>
    <t>Risk ownership</t>
  </si>
  <si>
    <t>Named first-line owners with control and remediation accountability</t>
  </si>
  <si>
    <t>Compliance risk</t>
  </si>
  <si>
    <t>Very low — no material regulatory findings acceptable</t>
  </si>
  <si>
    <t>Escalation</t>
  </si>
  <si>
    <t>Critical and high residual risks reported to committee with target actions</t>
  </si>
  <si>
    <t>Cyber / IT risk</t>
  </si>
  <si>
    <t>Low — critical-system recovery objective below four hours</t>
  </si>
  <si>
    <t>ASSESSMENT FRAMEWORK &amp; REGULATORY BASIS</t>
  </si>
  <si>
    <t>Risk framework</t>
  </si>
  <si>
    <t>Scoring method</t>
  </si>
  <si>
    <t>Inherent and residual exposure rated on a 5×5 likelihood × impact matrix; control effectiveness assessed as Strong, Adequate or Weak.</t>
  </si>
  <si>
    <t>Primary anchors</t>
  </si>
  <si>
    <t>RISK REGISTER</t>
  </si>
  <si>
    <t>HEAT MAP</t>
  </si>
  <si>
    <t>CHECKLIST</t>
  </si>
  <si>
    <t>LUXCAP ALTERNATIVES S.A. | RESIDUAL RISK HEAT MAP</t>
  </si>
  <si>
    <t>RESIDUAL RISK MATRIX</t>
  </si>
  <si>
    <t>ZONE SUMMARY</t>
  </si>
  <si>
    <t>RESIDUAL RISK POSITIONS BY ZONE</t>
  </si>
  <si>
    <t>LIKELIHOOD ↓</t>
  </si>
  <si>
    <t>IMPACT →</t>
  </si>
  <si>
    <t>Zone</t>
  </si>
  <si>
    <t>Count</t>
  </si>
  <si>
    <t>Share</t>
  </si>
  <si>
    <t>Impact</t>
  </si>
  <si>
    <t>Likelihood</t>
  </si>
  <si>
    <t>Critical X</t>
  </si>
  <si>
    <t>Critical Y</t>
  </si>
  <si>
    <t>High X</t>
  </si>
  <si>
    <t>High Y</t>
  </si>
  <si>
    <t>Moderate X</t>
  </si>
  <si>
    <t>Moderate Y</t>
  </si>
  <si>
    <t>Low X</t>
  </si>
  <si>
    <t>Low Y</t>
  </si>
  <si>
    <t>MATRIX INTERPRETATION</t>
  </si>
  <si>
    <t>Score thresholds: Low 1–4 | Moderate 5–9 | High 10–14 | Critical 15–25</t>
  </si>
  <si>
    <t>Priority</t>
  </si>
  <si>
    <t>Timing</t>
  </si>
  <si>
    <t>Critical</t>
  </si>
  <si>
    <t>Immediate / ≤30 days</t>
  </si>
  <si>
    <t>High</t>
  </si>
  <si>
    <t>Named action owner, milestone plan and monthly status reporting</t>
  </si>
  <si>
    <t>≤60 days</t>
  </si>
  <si>
    <t>Moderate</t>
  </si>
  <si>
    <t>Maintain controls; address enhancements through normal risk cycle</t>
  </si>
  <si>
    <t>≤90 days</t>
  </si>
  <si>
    <t>Low</t>
  </si>
  <si>
    <t>Monitor through routine control assurance and annual reassessment</t>
  </si>
  <si>
    <t>Business as usual</t>
  </si>
  <si>
    <t>KEY CONCENTRATIONS</t>
  </si>
  <si>
    <t>Likelihood 4 / Impact 5</t>
  </si>
  <si>
    <t>R007, R010</t>
  </si>
  <si>
    <t>Likelihood 3 / Impact 5</t>
  </si>
  <si>
    <t>R005, R028</t>
  </si>
  <si>
    <t>Likelihood 2 / Impact 3</t>
  </si>
  <si>
    <t>TOP 10 RESIDUAL RISKS</t>
  </si>
  <si>
    <t>RISK PROFILE</t>
  </si>
  <si>
    <t>Rank</t>
  </si>
  <si>
    <t>Risk title</t>
  </si>
  <si>
    <t>Score</t>
  </si>
  <si>
    <t>Control</t>
  </si>
  <si>
    <t>Owner</t>
  </si>
  <si>
    <t>CONTROL EFFECTIVENESS</t>
  </si>
  <si>
    <t>Rating</t>
  </si>
  <si>
    <t>CRITICAL RISK ACTION TRACKER</t>
  </si>
  <si>
    <t>Required management action</t>
  </si>
  <si>
    <t>Target</t>
  </si>
  <si>
    <t>DELIVERABLE CONTROL REGISTER</t>
  </si>
  <si>
    <t>ID</t>
  </si>
  <si>
    <t>Workstream</t>
  </si>
  <si>
    <t>Control / acceptance criterion</t>
  </si>
  <si>
    <t>Evidence</t>
  </si>
  <si>
    <t>Status</t>
  </si>
  <si>
    <t>QC-01</t>
  </si>
  <si>
    <t>Cover</t>
  </si>
  <si>
    <t>Institutional profile presents mandate, governance, appetite and regulatory basis</t>
  </si>
  <si>
    <t>Complete</t>
  </si>
  <si>
    <t>QC-02</t>
  </si>
  <si>
    <t>Risk Register</t>
  </si>
  <si>
    <t>Formal RiskRegister table contains all 30 risks without spacer rows</t>
  </si>
  <si>
    <t>RiskRegister: 30 records</t>
  </si>
  <si>
    <t>QC-03</t>
  </si>
  <si>
    <t>Inherent and residual scores are live likelihood × impact formulas</t>
  </si>
  <si>
    <t>QC-04</t>
  </si>
  <si>
    <t>Risk zone and remediation priority recalculate from residual score</t>
  </si>
  <si>
    <t>QC-05</t>
  </si>
  <si>
    <t>Residual score and control effectiveness use diagnostic formatting</t>
  </si>
  <si>
    <t>QC-06</t>
  </si>
  <si>
    <t>Heat Map</t>
  </si>
  <si>
    <t>5×5 matrix includes every Risk ID in the correct residual position</t>
  </si>
  <si>
    <t>30 risks; 0 mismatches</t>
  </si>
  <si>
    <t>QC-07</t>
  </si>
  <si>
    <t>Scatter view uses impact X-axis, likelihood Y-axis and four zone series</t>
  </si>
  <si>
    <t>Residual Risk Scatter</t>
  </si>
  <si>
    <t>QC-08</t>
  </si>
  <si>
    <t>Chart staging data is removed from the visible presentation canvas</t>
  </si>
  <si>
    <t>QC-09</t>
  </si>
  <si>
    <t>Executive Summary</t>
  </si>
  <si>
    <t>Top ten ranking is formula-driven from residual score</t>
  </si>
  <si>
    <t>EXECUTIVE SUMMARY!A10:I20</t>
  </si>
  <si>
    <t>QC-10</t>
  </si>
  <si>
    <t>Critical action tracker includes all four red-zone risks</t>
  </si>
  <si>
    <t>R007, R010, R005, R028</t>
  </si>
  <si>
    <t>QC-11</t>
  </si>
  <si>
    <t>Workbook QA</t>
  </si>
  <si>
    <t>QC-12</t>
  </si>
  <si>
    <t>QC-13</t>
  </si>
  <si>
    <t>QC-14</t>
  </si>
  <si>
    <t>QC-15</t>
  </si>
  <si>
    <t>FINAL REVIEW NOTE</t>
  </si>
  <si>
    <t>Institutional profile and portfolio project cover | Luxembourg AIFM case study</t>
  </si>
  <si>
    <t>PORTFOLIO PROJECT SNAPSHOT  •  AS AT 11 AUGUST 2026</t>
  </si>
  <si>
    <t>Reporting standard</t>
  </si>
  <si>
    <t>Residual risk drives prioritisation, remediation planning and management reporting; ownership and next steps are documented for every risk.</t>
  </si>
  <si>
    <t>Scope note: This workbook is a professional portfolio case study for a fictional institution; names, addresses and authorisation references are illustrative.</t>
  </si>
  <si>
    <t>PORTFOLIO CONTENTS</t>
  </si>
  <si>
    <t>Ranked residual risks, control gaps and analyst-led prioritisation.</t>
  </si>
  <si>
    <t>Risk universe, control assessment and residual exposure | Portfolio case study | 11 August 2026</t>
  </si>
  <si>
    <t>5×5 likelihood × impact assessment | Live from RiskRegister | Portfolio case study | 11 August 2026</t>
  </si>
  <si>
    <t>Illustrative response</t>
  </si>
  <si>
    <t>Immediate executive sponsor, funded remediation and monthly tracking</t>
  </si>
  <si>
    <t>LUXCAP ALTERNATIVES S.A. | EXECUTIVE RISK REVIEW</t>
  </si>
  <si>
    <t>Portfolio case study | Residual exposure, control gaps and remediation priorities | 11 August 2026</t>
  </si>
  <si>
    <t>ANALYST ASSESSMENT</t>
  </si>
  <si>
    <t>AIFMD Art. 15; Commission Delegated Regulation (EU) No 231/2013</t>
  </si>
  <si>
    <t>AIFMD Art. 15(3)(a); Commission Delegated Regulation (EU) No 231/2013</t>
  </si>
  <si>
    <t>AIFMD Art. 15(3)(b); Commission Delegated Regulation (EU) No 231/2013</t>
  </si>
  <si>
    <t>AIFMD Art. 15(3)(c); Commission Delegated Regulation (EU) No 231/2013</t>
  </si>
  <si>
    <t>AIFMD Art. 19; Commission Delegated Regulation (EU) No 231/2013</t>
  </si>
  <si>
    <t>AIFMD Art. 21; Commission Delegated Regulation (EU) No 231/2013</t>
  </si>
  <si>
    <t>AIFMD Art. 18; Luxembourg Penal Code Art. 496; Commission Delegated Regulation (EU) No 231/2013</t>
  </si>
  <si>
    <t>AIFMD Art. 12; Commission Delegated Regulation (EU) No 231/2013</t>
  </si>
  <si>
    <t>LUXCAP ALTERNATIVES S.A. | PORTFOLIO DELIVERY &amp; QUALITY CHECKLIST</t>
  </si>
  <si>
    <t>Workbook controls and companion documents have been tested against the live 30-risk register. All required portfolio deliverables are complete and supported by reconciled evidence.</t>
  </si>
  <si>
    <t>Companion Document</t>
  </si>
  <si>
    <t>Executive risk review completed and reconciled to the workbook</t>
  </si>
  <si>
    <t>EXECUTIVE RISK NOTE (ANALYST NOTE).docx</t>
  </si>
  <si>
    <t>Risk-scoring methodology note completed and reconciled to the workbook</t>
  </si>
  <si>
    <t>Methodology Note — Risk Scoring Framework.docx</t>
  </si>
  <si>
    <t>Portfolio Package</t>
  </si>
  <si>
    <t>Final portfolio version, document reference and quality sign-off confirmed</t>
  </si>
  <si>
    <t>RCN-2026-001 | Final portfolio version | 11 August 2026</t>
  </si>
  <si>
    <t>AIFMD Art. 15; Commission Delegated Regulation (EU) No 231/2013 (risk management); model governance good practice</t>
  </si>
  <si>
    <t>AIFMD Arts. 18 and 19; Regulation (EU) 2022/2554 (DORA) where ICT-enabled; CSSF Circ. 18/698</t>
  </si>
  <si>
    <t>AIFMD Art. 22 (annual report); Art. 24 and Annex IV (regulatory reporting); CSSF Circ. 18/698</t>
  </si>
  <si>
    <t>AIFMD Art. 18; Regulation (EU) 2022/2554 (DORA); CSSF Circ. 18/698</t>
  </si>
  <si>
    <t>AIFMD Art. 18; Commission Delegated Regulation (EU) No 231/2013; CSSF Circ. 18/698</t>
  </si>
  <si>
    <t>AIFMD Articles 15, 16, 18, 19, 22 and 24; Commission Delegated Regulation (EU) No 231/2013; Luxembourg Law of 12 July 2013; CSSF Circular 18/698; DORA; ESMA liquidity-stress guidelines.</t>
  </si>
  <si>
    <t>AIFMD-aligned risk universe using credit, market, liquidity, operational, compliance, governance, ESG and digital operational-resilience lenses.</t>
  </si>
  <si>
    <t>AIFMD Art. 16; Commission Delegated Regulation (EU) No 231/2013; ESMA34-39-897; CSSF Circular 20/752</t>
  </si>
  <si>
    <t>AIFMD Art. 15(3)(c); ESMA34-39-897; CSSF Circular 20/752; MiFID II best-execution requirements</t>
  </si>
  <si>
    <t>Applicable EU restrictive-measures and sanctions regulations; Luxembourg Law of 19 December 2020 on restrictive measures; Luxembourg AML Law</t>
  </si>
  <si>
    <t>Residual Adjustment Rationale</t>
  </si>
  <si>
    <t>Within methodology: 1-step likelihood reduction supported by Counterparty credit approval policy and single-obligor concentration limits; impact remains unchanged because severity is not demonstrably reduced.</t>
  </si>
  <si>
    <t>Within methodology: 1-step likelihood reduction supported by Ongoing credit monitoring and quarterly stress testing; impact remains unchanged because severity is not demonstrably reduced.</t>
  </si>
  <si>
    <t>Within methodology: 1-step likelihood reduction supported by Counterparty SLA framework and daily collateralisation; impact remains unchanged because severity is not demonstrably reduced.</t>
  </si>
  <si>
    <t>Within methodology: 1-step likelihood reduction supported by Position limits and portfolio diversification policy; impact remains unchanged because severity is not demonstrably reduced.</t>
  </si>
  <si>
    <t>Within methodology: 1-step likelihood reduction supported by Strategic asset allocation policy and dynamic hedging; impact remains unchanged because severity is not demonstrably reduced.</t>
  </si>
  <si>
    <t>Within methodology: 1-step likelihood reduction supported by Duration limits and interest rate stress testing framework; impact remains unchanged because severity is not demonstrably reduced.</t>
  </si>
  <si>
    <t>Documented methodology exception: despite the overall Weak control rating, residual likelihood is reduced one step from 5 to 4 because the contractual 90-day redemption notice period lowers the frequency of an immediate liquidity mismatch. Impact remains 5; the exception requires periodic challenge and evidence of enforceability.</t>
  </si>
  <si>
    <t>Judgemental exception permitted by methodology: 1-step likelihood and 1-step impact reduction supported by Cash forecasting procedures and daily reporting. The documented operating controls provide preventive and loss-limiting evidence; the reduction is capped at one impact step.</t>
  </si>
  <si>
    <t>Within methodology: 1-step likelihood reduction supported by FX hedging policy and currency exposure limits; impact remains unchanged because severity is not demonstrably reduced.</t>
  </si>
  <si>
    <t>Methodology default applied: Weak control; no reduction to likelihood or impact.</t>
  </si>
  <si>
    <t>Judgemental exception permitted by methodology: 1-step likelihood and 1-step impact reduction supported by Independent NAV check procedure and reconciliation. The documented operating controls provide preventive and loss-limiting evidence; the reduction is capped at one impact step.</t>
  </si>
  <si>
    <t>Judgemental exception permitted by methodology: 1-step likelihood and 1-step impact reduction supported by Model validation and governance framework. The documented operating controls provide preventive and loss-limiting evidence; the reduction is capped at one impact step.</t>
  </si>
  <si>
    <t>Judgemental exception permitted by methodology: 1-step likelihood and 1-step impact reduction supported by Diversified pricing vendor policy and fallback procedures. The documented operating controls provide preventive and loss-limiting evidence; the reduction is capped at one impact step.</t>
  </si>
  <si>
    <t>Judgemental exception permitted by methodology: 1-step impact reduction supported by Compliance monitoring programme and regulatory reporting calendar. The documented operating controls provide preventive and loss-limiting evidence; the reduction is capped at one impact step.</t>
  </si>
  <si>
    <t>Judgemental exception permitted by methodology: 1-step likelihood and 1-step impact reduction supported by AML / KYC policy and automated screening tools. The documented operating controls provide preventive and loss-limiting evidence; the reduction is capped at one impact step.</t>
  </si>
  <si>
    <t>Judgemental exception permitted by methodology: 1-step likelihood and 1-step impact reduction supported by IT disaster recovery plan and cyber security controls. The documented operating controls provide preventive and loss-limiting evidence; the reduction is capped at one impact step.</t>
  </si>
  <si>
    <t>Judgemental exception permitted by methodology: 1-step likelihood and 1-step impact reduction supported by Data governance framework and automated reconciliation controls. The documented operating controls provide preventive and loss-limiting evidence; the reduction is capped at one impact step.</t>
  </si>
  <si>
    <t>Judgemental exception permitted by methodology: 1-step likelihood and 1-step impact reduction supported by Vendor due diligence programme and SLA monitoring. The documented operating controls provide preventive and loss-limiting evidence; the reduction is capped at one impact step.</t>
  </si>
  <si>
    <t>Within methodology: 1-step likelihood and 1-step impact reduction supported by Segregation of duties, audit trails, and whistleblower policy. The documented operating controls provide preventive and loss-limiting evidence; the reduction is capped at one impact step.</t>
  </si>
  <si>
    <t>Judgemental exception permitted by methodology: 1-step impact reduction supported by Contract review procedures and legal sign-off process. The documented operating controls provide preventive and loss-limiting evidence; the reduction is capped at one impact step.</t>
  </si>
  <si>
    <t>Judgemental exception permitted by methodology: 1-step likelihood and 1-step impact reduction supported by External tax advice and quarterly tax reviews. The documented operating controls provide preventive and loss-limiting evidence; the reduction is capped at one impact step.</t>
  </si>
  <si>
    <t>Judgemental exception permitted by methodology: 1-step likelihood and 1-step impact reduction supported by Investment mandate monitoring and committee oversight. The documented operating controls provide preventive and loss-limiting evidence; the reduction is capped at one impact step.</t>
  </si>
  <si>
    <t>Judgemental exception permitted by methodology: 1-step likelihood and 1-step impact reduction supported by ICFR framework and internal audit programme. The documented operating controls provide preventive and loss-limiting evidence; the reduction is capped at one impact step.</t>
  </si>
  <si>
    <t>Judgemental exception permitted by methodology: 1-step likelihood and 1-step impact reduction supported by ESG due diligence and engagement policy. The documented operating controls provide preventive and loss-limiting evidence; the reduction is capped at one impact step.</t>
  </si>
  <si>
    <t>Judgemental exception permitted by methodology: 1-step likelihood and 1-step impact reduction supported by Fee calculation procedures and automated audit trail. The documented operating controls provide preventive and loss-limiting evidence; the reduction is capped at one impact step.</t>
  </si>
  <si>
    <t>Judgemental exception permitted by methodology: 1-step likelihood and 1-step impact reduction supported by Market liquidity limits and best-execution policy. The documented operating controls provide preventive and loss-limiting evidence; the reduction is capped at one impact step.</t>
  </si>
  <si>
    <t>Judgemental exception permitted by methodology: 1-step likelihood and 1-step impact reduction supported by Automated sanctions screening and escalation process. The documented operating controls provide preventive and loss-limiting evidence; the reduction is capped at one impact step.</t>
  </si>
  <si>
    <t>Ranking rule: residual score descending; ties broken by inherent score descending, then Risk ID ascending. Only ten rows are displayed.</t>
  </si>
  <si>
    <t>No formula, scoring, ranking, heat-map, residual-adjustment or regulatory-mapping exceptions remain</t>
  </si>
  <si>
    <t>30 risks; residual rationale column complete; CSSF 20/752 and sanctions citations reviewed</t>
  </si>
  <si>
    <t>Last Review Date</t>
  </si>
  <si>
    <t>Next Review Date</t>
  </si>
  <si>
    <t>Evidence Source</t>
  </si>
  <si>
    <t>Credit Committee Pack — July 2026</t>
  </si>
  <si>
    <t>CLO Stress Testing Pack — Q2 2026</t>
  </si>
  <si>
    <t>Daily Settlement Reconciliation — July 2026</t>
  </si>
  <si>
    <t>Concentration Limit Report — July 2026</t>
  </si>
  <si>
    <t>Hedge Effectiveness Review — July 2026</t>
  </si>
  <si>
    <t>Interest Rate Stress Pack — Q2 2026</t>
  </si>
  <si>
    <t>Liquidity Stress Test Pack — July 2026</t>
  </si>
  <si>
    <t>13-Week Cash Forecast — 7 August 2026</t>
  </si>
  <si>
    <t>FX Exposure Report — July 2026</t>
  </si>
  <si>
    <t>External Valuation Review — Q2 2026</t>
  </si>
  <si>
    <t>NAV Reconciliation Report — July 2026</t>
  </si>
  <si>
    <t>Model Validation Report — 2026</t>
  </si>
  <si>
    <t>Pricing Vendor Due Diligence File — 2026</t>
  </si>
  <si>
    <t>Custodian SLA Review Minutes — Q2 2026</t>
  </si>
  <si>
    <t>Compliance Monitoring Report — Q2 2026</t>
  </si>
  <si>
    <t>AML/KYC Sample Review — July 2026</t>
  </si>
  <si>
    <t>Succession Planning Review — July 2026</t>
  </si>
  <si>
    <t>Cyber Recovery Test Report — July 2026</t>
  </si>
  <si>
    <t>Data Quality Reconciliation — July 2026</t>
  </si>
  <si>
    <t>Vendor Due Diligence Report — 2026</t>
  </si>
  <si>
    <t>Internal Audit Controls Report — 2026</t>
  </si>
  <si>
    <t>Legal Contract Review Log — 2026</t>
  </si>
  <si>
    <t>External Tax Review — Q2 2026</t>
  </si>
  <si>
    <t>Investment Committee Minutes — July 2026</t>
  </si>
  <si>
    <t>ICFR Testing File — Q2 2026</t>
  </si>
  <si>
    <t>ESG Monitoring Report — July 2026</t>
  </si>
  <si>
    <t>Fee Recalculation Review — July 2026</t>
  </si>
  <si>
    <t>BCP Simulation Report — July 2026</t>
  </si>
  <si>
    <t>Best Execution Report — Q2 2026</t>
  </si>
  <si>
    <t>Sanctions Screening Sample — July 2026</t>
  </si>
  <si>
    <t>Portfolio use: filter by Risk Zone, Remediation Priority, Control Effectiveness or Risk Owner. Review dates recalculate from residual zone; evidence references are illustrative case-study audit trails.</t>
  </si>
  <si>
    <t>CSSF-authorised Alternative Investment Fund Manager (AIFM) — fictional case study
This workbook is an educational portfolio simulation designed to demonstrate risk-management concepts applicable to Luxembourg investment fund managers. It does not demonstrate regulatory approval, compliance certification, or supervisory validation.</t>
  </si>
  <si>
    <t>Full 30-risk inventory with live scoring, review dates, evidence sources, owners and remediation actions.</t>
  </si>
  <si>
    <t>RISK APPETITE</t>
  </si>
  <si>
    <t>Illustrative category appetites, measurable trigger thresholds and escalation routes.</t>
  </si>
  <si>
    <t>Residual likelihood × impact view for concentration and escalation assessment.</t>
  </si>
  <si>
    <t>KRI DASHBOARD</t>
  </si>
  <si>
    <t>Live management indicators for critical risks, weak controls, testing and actions.</t>
  </si>
  <si>
    <t>CONTROL TESTING</t>
  </si>
  <si>
    <t>Control assurance log with test results, findings and closure status.</t>
  </si>
  <si>
    <t>ACTION TRACKER</t>
  </si>
  <si>
    <t>Management actions with owners, due dates, status and evidence.</t>
  </si>
  <si>
    <t>EMERGING RISKS</t>
  </si>
  <si>
    <t>Forward-looking risk themes and monitoring approaches.</t>
  </si>
  <si>
    <t>Quality-control register, final portfolio status and governance evidence.</t>
  </si>
  <si>
    <t>LUXCAP ALTERNATIVES S.A. | RISK APPETITE</t>
  </si>
  <si>
    <t>Illustrative management thresholds | Portfolio case study | 11 August 2026</t>
  </si>
  <si>
    <t>Risk appetite statements are translated into explicit management triggers and escalation routes. These thresholds support prioritisation and governance challenge; they are not regulatory limits.</t>
  </si>
  <si>
    <t>MANAGEMENT APPETITE THRESHOLDS</t>
  </si>
  <si>
    <t>Risk Category</t>
  </si>
  <si>
    <t>Appetite</t>
  </si>
  <si>
    <t>Trigger Threshold</t>
  </si>
  <si>
    <t>Residual Score ≥12</t>
  </si>
  <si>
    <t>Risk Committee</t>
  </si>
  <si>
    <t>Residual Score ≥10</t>
  </si>
  <si>
    <t>Immediate Escalation</t>
  </si>
  <si>
    <t>Very Low</t>
  </si>
  <si>
    <t>Residual Score ≥8</t>
  </si>
  <si>
    <t>Board Notification</t>
  </si>
  <si>
    <t>Senior Management</t>
  </si>
  <si>
    <t>Illustrative portfolio case-study thresholds for management prioritisation. Not regulatory limits.</t>
  </si>
  <si>
    <t>LUXCAP ALTERNATIVES S.A. | CONTROL TESTING</t>
  </si>
  <si>
    <t>Control assurance evidence | 15 illustrative tests | July 2026</t>
  </si>
  <si>
    <t>TESTS LOGGED</t>
  </si>
  <si>
    <t>OPEN FINDINGS</t>
  </si>
  <si>
    <t>PASS RATE</t>
  </si>
  <si>
    <t>CONTROL ASSURANCE LOG</t>
  </si>
  <si>
    <t>Control ID</t>
  </si>
  <si>
    <t>Related Risk</t>
  </si>
  <si>
    <t>Test Date</t>
  </si>
  <si>
    <t>Test Type</t>
  </si>
  <si>
    <t>Result</t>
  </si>
  <si>
    <t>Finding</t>
  </si>
  <si>
    <t>CT-001</t>
  </si>
  <si>
    <t>Liquidity Stress Test</t>
  </si>
  <si>
    <t>Partial Pass</t>
  </si>
  <si>
    <t>Escalation thresholds missing</t>
  </si>
  <si>
    <t>Open</t>
  </si>
  <si>
    <t>CT-002</t>
  </si>
  <si>
    <t>External Valuation Review</t>
  </si>
  <si>
    <t>Testing frequency remains quarterly</t>
  </si>
  <si>
    <t>CT-003</t>
  </si>
  <si>
    <t>BCP Simulation</t>
  </si>
  <si>
    <t>Fail</t>
  </si>
  <si>
    <t>Critical third parties not included</t>
  </si>
  <si>
    <t>CT-004</t>
  </si>
  <si>
    <t>Counterparty Failover Test</t>
  </si>
  <si>
    <t>No operationally tested alternative</t>
  </si>
  <si>
    <t>CT-005</t>
  </si>
  <si>
    <t>Succession Walkthrough</t>
  </si>
  <si>
    <t>Backup procedures incomplete</t>
  </si>
  <si>
    <t>CT-006</t>
  </si>
  <si>
    <t>Hedge Effectiveness Test</t>
  </si>
  <si>
    <t>Pass</t>
  </si>
  <si>
    <t>No material exceptions</t>
  </si>
  <si>
    <t>Closed</t>
  </si>
  <si>
    <t>CT-007</t>
  </si>
  <si>
    <t>AML/KYC Sample Review</t>
  </si>
  <si>
    <t>CT-008</t>
  </si>
  <si>
    <t>Cyber Recovery Test</t>
  </si>
  <si>
    <t>Observed RTO was 5.2 hours</t>
  </si>
  <si>
    <t>CT-009</t>
  </si>
  <si>
    <t>Settlement Reconciliation Test</t>
  </si>
  <si>
    <t>CT-010</t>
  </si>
  <si>
    <t>NAV Reperformance</t>
  </si>
  <si>
    <t>CT-011</t>
  </si>
  <si>
    <t>Vendor Failover Test</t>
  </si>
  <si>
    <t>Secondary feed requires manual intervention</t>
  </si>
  <si>
    <t>CT-012</t>
  </si>
  <si>
    <t>Data Quality Reconciliation</t>
  </si>
  <si>
    <t>CT-013</t>
  </si>
  <si>
    <t>SLA Review</t>
  </si>
  <si>
    <t>Vendor BCP evidence overdue</t>
  </si>
  <si>
    <t>CT-014</t>
  </si>
  <si>
    <t>ICFR Sample Test</t>
  </si>
  <si>
    <t>CT-015</t>
  </si>
  <si>
    <t>Sanctions Screening Sample</t>
  </si>
  <si>
    <t>Illustrative testing records for this fictional portfolio case study. Findings demonstrate how control design is challenged and tracked to closure.</t>
  </si>
  <si>
    <t>LUXCAP ALTERNATIVES S.A. | ACTION TRACKER</t>
  </si>
  <si>
    <t>Remediation ownership, due dates and completion evidence | As at 26 August 2026</t>
  </si>
  <si>
    <t>OPEN ACTIONS</t>
  </si>
  <si>
    <t>OVERDUE</t>
  </si>
  <si>
    <t>COMPLETED</t>
  </si>
  <si>
    <t>MANAGEMENT ACTION LOG</t>
  </si>
  <si>
    <t>Action ID</t>
  </si>
  <si>
    <t>Action</t>
  </si>
  <si>
    <t>Due Date</t>
  </si>
  <si>
    <t>ACT-001</t>
  </si>
  <si>
    <t>Implement weekly liquidity stress testing</t>
  </si>
  <si>
    <t>In Progress</t>
  </si>
  <si>
    <t>Draft scenario pack</t>
  </si>
  <si>
    <t>ACT-002</t>
  </si>
  <si>
    <t>Secure committed credit facility or repo line</t>
  </si>
  <si>
    <t>Term-sheet request</t>
  </si>
  <si>
    <t>ACT-003</t>
  </si>
  <si>
    <t>Engage independent valuers for top 20 illiquid positions monthly</t>
  </si>
  <si>
    <t>Valuer proposal</t>
  </si>
  <si>
    <t>ACT-004</t>
  </si>
  <si>
    <t>Run full BCP simulation with critical third parties</t>
  </si>
  <si>
    <t>Approved test plan</t>
  </si>
  <si>
    <t>ACT-005</t>
  </si>
  <si>
    <t>Identify and onboard an alternative custodian</t>
  </si>
  <si>
    <t>Initial market scan</t>
  </si>
  <si>
    <t>ACT-006</t>
  </si>
  <si>
    <t>Formalise succession and backup designations</t>
  </si>
  <si>
    <t>Draft succession matrix</t>
  </si>
  <si>
    <t>ACT-007</t>
  </si>
  <si>
    <t>Test collateral impact of hedge positions under illiquidity</t>
  </si>
  <si>
    <t>Not yet started</t>
  </si>
  <si>
    <t>ACT-008</t>
  </si>
  <si>
    <t>Commission independent penetration test</t>
  </si>
  <si>
    <t>RFP drafted</t>
  </si>
  <si>
    <t>ACT-009</t>
  </si>
  <si>
    <t>Add adverse-media screening to KYC monitoring</t>
  </si>
  <si>
    <t>Vendor configuration</t>
  </si>
  <si>
    <t>ACT-010</t>
  </si>
  <si>
    <t>Run pricing-vendor failover test</t>
  </si>
  <si>
    <t>Test calendar</t>
  </si>
  <si>
    <t>ACT-011</t>
  </si>
  <si>
    <t>Obtain annual BCP test evidence from key vendors</t>
  </si>
  <si>
    <t>Evidence request sent</t>
  </si>
  <si>
    <t>ACT-012</t>
  </si>
  <si>
    <t>Implement real-time concentration breach alerts</t>
  </si>
  <si>
    <t>Business requirements</t>
  </si>
  <si>
    <t>The log converts remediation text into accountable management actions. Due dates and evidence are illustrative for the portfolio simulation.</t>
  </si>
  <si>
    <t>LUXCAP ALTERNATIVES S.A. | EMERGING RISKS</t>
  </si>
  <si>
    <t>Forward-looking monitoring themes | Portfolio case study | August 2026</t>
  </si>
  <si>
    <t>Emerging risks are monitored before they crystallise into scored register events. Inclusion here does not imply a current breach or a regulatory finding.</t>
  </si>
  <si>
    <t>EMERGING RISK WATCHLIST</t>
  </si>
  <si>
    <t>Emerging Risk</t>
  </si>
  <si>
    <t>Description</t>
  </si>
  <si>
    <t>Monitoring Approach</t>
  </si>
  <si>
    <t>AI Risk</t>
  </si>
  <si>
    <t>Use of AI in investment operations</t>
  </si>
  <si>
    <t>Quarterly governance and model-risk review</t>
  </si>
  <si>
    <t>Geopolitical Shock</t>
  </si>
  <si>
    <t>Market and liquidity disruptions from geopolitical events</t>
  </si>
  <si>
    <t>Scenario testing and exposure monitoring</t>
  </si>
  <si>
    <t>DORA Implementation</t>
  </si>
  <si>
    <t>Evolving ICT operational-resilience obligations</t>
  </si>
  <si>
    <t>Compliance monitoring and implementation tracking</t>
  </si>
  <si>
    <t>Watchlist themes are illustrative and should be reassessed through the normal risk-governance cycle.</t>
  </si>
  <si>
    <t>LUXCAP ALTERNATIVES S.A. | KEY RISK INDICATORS</t>
  </si>
  <si>
    <t>Live governance indicators | Risk, control testing and action status | 26 August 2026</t>
  </si>
  <si>
    <t>CRITICAL RISKS</t>
  </si>
  <si>
    <t>OPEN CRITICAL ACTIONS</t>
  </si>
  <si>
    <t>OVERDUE ACTIONS</t>
  </si>
  <si>
    <t>TESTED CONTROLS</t>
  </si>
  <si>
    <t>OPEN TEST FINDINGS</t>
  </si>
  <si>
    <t>STORY IN BRIEF</t>
  </si>
  <si>
    <t>MANAGEMENT INTERPRETATION</t>
  </si>
  <si>
    <t>Indicator</t>
  </si>
  <si>
    <t>Response</t>
  </si>
  <si>
    <t>Critical risks / weak controls</t>
  </si>
  <si>
    <t>Monthly committee tracking and funded remediation</t>
  </si>
  <si>
    <t>Overdue actions</t>
  </si>
  <si>
    <t>Immediate owner escalation and revised evidence date</t>
  </si>
  <si>
    <t>Open test findings</t>
  </si>
  <si>
    <t>Control owner response and closure validation</t>
  </si>
  <si>
    <t>GOVERNANCE ENHANCEMENT CONTROLS</t>
  </si>
  <si>
    <t>QC-16</t>
  </si>
  <si>
    <t>Risk Appetite</t>
  </si>
  <si>
    <t>Illustrative appetites are translated into score triggers and escalation routes</t>
  </si>
  <si>
    <t>RISK APPETITE!A8:D13</t>
  </si>
  <si>
    <t>QC-17</t>
  </si>
  <si>
    <t>Control Testing</t>
  </si>
  <si>
    <t>Fifteen control tests record results, findings and status</t>
  </si>
  <si>
    <t>CONTROL TESTING!A9:G24</t>
  </si>
  <si>
    <t>QC-18</t>
  </si>
  <si>
    <t>Action Tracking</t>
  </si>
  <si>
    <t>Remediation actions include owner, due date, status and evidence</t>
  </si>
  <si>
    <t>ACTION TRACKER!A9:G21</t>
  </si>
  <si>
    <t>QC-19</t>
  </si>
  <si>
    <t>Last and next review dates are recorded for all 30 risks</t>
  </si>
  <si>
    <t>RiskRegister review-date columns</t>
  </si>
  <si>
    <t>QC-20</t>
  </si>
  <si>
    <t>Evidence source references are recorded for all 30 controls</t>
  </si>
  <si>
    <t>RiskRegister Evidence Source</t>
  </si>
  <si>
    <t>QC-21</t>
  </si>
  <si>
    <t>Emerging Risks</t>
  </si>
  <si>
    <t>Forward-looking risks include monitoring approaches</t>
  </si>
  <si>
    <t>EMERGING RISKS!A8:C11</t>
  </si>
  <si>
    <t>QC-22</t>
  </si>
  <si>
    <t>Simulation Disclaimer</t>
  </si>
  <si>
    <t>Educational simulation and non-validation disclaimer is explicit</t>
  </si>
  <si>
    <t>INSTITUTIONAL PROFILE!F15</t>
  </si>
  <si>
    <t>QC-23</t>
  </si>
  <si>
    <t>KRI Dashboard</t>
  </si>
  <si>
    <t>Live KRIs reconcile to the register, tests and actions</t>
  </si>
  <si>
    <t>KRI DASHBOARD!A4:F8</t>
  </si>
  <si>
    <t>Portfolio completion, document validation and final quality assurance | Full workbook audit 26 August 2026</t>
  </si>
  <si>
    <t>INSTITUTIONAL PROFILE!A1:H48</t>
  </si>
  <si>
    <t>K7:K36 and R7:R36</t>
  </si>
  <si>
    <t>S7:T36</t>
  </si>
  <si>
    <t>R7:R36 and M7:M36</t>
  </si>
  <si>
    <t>HEAT MAP SUPPORT hidden</t>
  </si>
  <si>
    <t>Visible sheets use consistent title hierarchy, typography and workbook palette</t>
  </si>
  <si>
    <t>10 visible presentation sheets</t>
  </si>
  <si>
    <t>Portfolio readiness is 100%. Full workbook audit completed 26 August 2026: all 30 risk records are complete; scoring, ranking, review-date, KRI and governance formulas recalculate correctly; the residual-risk chart is bound to live support data; intentional chart exclusions use non-error blanks; typography and tab colors are standardised; and all 23 delivery and governance controls are complete.</t>
  </si>
  <si>
    <t>Prepared by Joy Lorna  |  Financial Risk Analyst  | Portfolio Case Study</t>
  </si>
  <si>
    <t>Prepared by Joy Lorna  |  Financial Risk Analyst  |Portfolio Case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</si>
</sst>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38" x14ac:knownFonts="1">
    <font>
      <sz val="11"/>
      <color theme="1"/>
      <name val="Aptos Narrow"/>
      <family val="2"/>
      <scheme val="minor"/>
    </font>
    <font>
      <sz val="11"/>
      <color theme="1"/>
      <name val="Calibri"/>
      <family val="2"/>
    </font>
    <font>
      <b/>
      <sz val="11"/>
      <color theme="1"/>
      <name val="Calibri"/>
      <family val="2"/>
    </font>
    <font>
      <b/>
      <sz val="20"/>
      <color rgb="FFFFFFFF"/>
      <name val="Aptos"/>
    </font>
    <font>
      <i/>
      <sz val="11"/>
      <color rgb="FF5B6573"/>
      <name val="Aptos"/>
    </font>
    <font>
      <sz val="10"/>
      <color rgb="FF1F2937"/>
      <name val="Aptos"/>
    </font>
    <font>
      <b/>
      <sz val="11"/>
      <color rgb="FFFFFFFF"/>
      <name val="Aptos"/>
    </font>
    <font>
      <b/>
      <sz val="22"/>
      <color rgb="FFFFFFFF"/>
      <name val="Aptos"/>
    </font>
    <font>
      <b/>
      <sz val="9"/>
      <color rgb="FFFFFFFF"/>
      <name val="Aptos"/>
    </font>
    <font>
      <sz val="10.5"/>
      <color rgb="FF23364D"/>
      <name val="Aptos"/>
    </font>
    <font>
      <b/>
      <sz val="10"/>
      <color rgb="FF17365D"/>
      <name val="Aptos"/>
    </font>
    <font>
      <i/>
      <sz val="10"/>
      <color rgb="FF6B4E00"/>
      <name val="Aptos"/>
    </font>
    <font>
      <b/>
      <sz val="11"/>
      <color rgb="FF2F75B5"/>
      <name val="Aptos"/>
    </font>
    <font>
      <sz val="11"/>
      <color theme="1"/>
      <name val="Aptos"/>
    </font>
    <font>
      <sz val="11"/>
      <color rgb="FF1F2937"/>
      <name val="Aptos"/>
    </font>
    <font>
      <i/>
      <sz val="11"/>
      <color rgb="FFFFFFFF"/>
      <name val="Aptos"/>
    </font>
    <font>
      <b/>
      <sz val="18"/>
      <color rgb="FFFFFFFF"/>
      <name val="Aptos"/>
    </font>
    <font>
      <i/>
      <sz val="10"/>
      <color rgb="FF666666"/>
      <name val="Aptos"/>
    </font>
    <font>
      <sz val="9"/>
      <color rgb="FF1F2937"/>
      <name val="Aptos"/>
    </font>
    <font>
      <b/>
      <sz val="11"/>
      <color rgb="FF17365D"/>
      <name val="Aptos"/>
    </font>
    <font>
      <i/>
      <sz val="9"/>
      <color rgb="FF666666"/>
      <name val="Aptos"/>
    </font>
    <font>
      <b/>
      <sz val="9"/>
      <color rgb="FF1F2937"/>
      <name val="Aptos"/>
    </font>
    <font>
      <b/>
      <sz val="9"/>
      <color rgb="FF3B3300"/>
      <name val="Aptos"/>
    </font>
    <font>
      <b/>
      <sz val="9"/>
      <color rgb="FF3B2500"/>
      <name val="Aptos"/>
    </font>
    <font>
      <i/>
      <sz val="11"/>
      <color theme="1"/>
      <name val="Aptos"/>
    </font>
    <font>
      <sz val="10"/>
      <color rgb="FF23364D"/>
      <name val="Aptos"/>
    </font>
    <font>
      <b/>
      <sz val="10"/>
      <color rgb="FFFFFFFF"/>
      <name val="Aptos"/>
    </font>
    <font>
      <b/>
      <sz val="14"/>
      <color rgb="FFFFFFFF"/>
      <name val="Aptos"/>
    </font>
    <font>
      <b/>
      <sz val="10"/>
      <color rgb="FF1F2937"/>
      <name val="Aptos"/>
    </font>
    <font>
      <i/>
      <sz val="10"/>
      <color rgb="FF5B6573"/>
      <name val="Aptos"/>
    </font>
    <font>
      <sz val="9"/>
      <color rgb="FFFFFFFF"/>
      <name val="Aptos"/>
    </font>
    <font>
      <b/>
      <sz val="10.5"/>
      <color rgb="FFFFFFFF"/>
      <name val="Aptos"/>
    </font>
    <font>
      <i/>
      <sz val="8.5"/>
      <color rgb="FF5B6573"/>
      <name val="Aptos"/>
    </font>
    <font>
      <b/>
      <sz val="22"/>
      <color theme="1"/>
      <name val="Aptos"/>
    </font>
    <font>
      <b/>
      <sz val="9"/>
      <color rgb="FF375623"/>
      <name val="Aptos"/>
    </font>
    <font>
      <i/>
      <sz val="9"/>
      <color rgb="FFFFFFFF"/>
      <name val="Aptos"/>
    </font>
    <font>
      <sz val="10"/>
      <color theme="1"/>
      <name val="Aptos"/>
      <family val="2"/>
    </font>
    <font>
      <b/>
      <sz val="10"/>
      <color rgb="FF375623"/>
      <name val="Aptos"/>
      <family val="2"/>
    </font>
  </fonts>
  <fills count="27">
    <fill>
      <patternFill patternType="none"/>
    </fill>
    <fill>
      <patternFill patternType="gray125"/>
    </fill>
    <fill>
      <patternFill patternType="solid">
        <fgColor rgb="FFFFFFFF"/>
        <bgColor indexed="64"/>
      </patternFill>
    </fill>
    <fill>
      <patternFill patternType="solid">
        <fgColor rgb="FF17365D"/>
        <bgColor indexed="64"/>
      </patternFill>
    </fill>
    <fill>
      <patternFill patternType="solid">
        <fgColor rgb="FFDDE7F1"/>
        <bgColor indexed="64"/>
      </patternFill>
    </fill>
    <fill>
      <patternFill patternType="solid">
        <fgColor rgb="FF1F6D7A"/>
        <bgColor indexed="64"/>
      </patternFill>
    </fill>
    <fill>
      <patternFill patternType="solid">
        <fgColor rgb="FFB42318"/>
        <bgColor indexed="64"/>
      </patternFill>
    </fill>
    <fill>
      <patternFill patternType="solid">
        <fgColor rgb="FFC9962C"/>
        <bgColor indexed="64"/>
      </patternFill>
    </fill>
    <fill>
      <patternFill patternType="solid">
        <fgColor rgb="FFEAF1F7"/>
        <bgColor indexed="64"/>
      </patternFill>
    </fill>
    <fill>
      <patternFill patternType="solid">
        <fgColor rgb="FFE7F2F3"/>
        <bgColor indexed="64"/>
      </patternFill>
    </fill>
    <fill>
      <patternFill patternType="solid">
        <fgColor rgb="FFFFF4D6"/>
        <bgColor indexed="64"/>
      </patternFill>
    </fill>
    <fill>
      <patternFill patternType="solid">
        <fgColor rgb="FFF2F5F8"/>
        <bgColor indexed="64"/>
      </patternFill>
    </fill>
    <fill>
      <patternFill patternType="solid">
        <fgColor rgb="FFEEF3F8"/>
        <bgColor indexed="64"/>
      </patternFill>
    </fill>
    <fill>
      <patternFill patternType="solid">
        <fgColor rgb="FFF7F7F7"/>
        <bgColor indexed="64"/>
      </patternFill>
    </fill>
    <fill>
      <patternFill patternType="solid">
        <fgColor rgb="FF70AD47"/>
        <bgColor indexed="64"/>
      </patternFill>
    </fill>
    <fill>
      <patternFill patternType="solid">
        <fgColor rgb="FFFFE699"/>
        <bgColor indexed="64"/>
      </patternFill>
    </fill>
    <fill>
      <patternFill patternType="solid">
        <fgColor rgb="FFF4B183"/>
        <bgColor indexed="64"/>
      </patternFill>
    </fill>
    <fill>
      <patternFill patternType="solid">
        <fgColor rgb="FFED7D31"/>
        <bgColor indexed="64"/>
      </patternFill>
    </fill>
    <fill>
      <patternFill patternType="solid">
        <fgColor rgb="FFD6A800"/>
        <bgColor indexed="64"/>
      </patternFill>
    </fill>
    <fill>
      <patternFill patternType="solid">
        <fgColor rgb="FF548235"/>
        <bgColor indexed="64"/>
      </patternFill>
    </fill>
    <fill>
      <patternFill patternType="solid">
        <fgColor rgb="FFFDE9E7"/>
        <bgColor indexed="64"/>
      </patternFill>
    </fill>
    <fill>
      <patternFill patternType="solid">
        <fgColor rgb="FFFCE4D6"/>
        <bgColor indexed="64"/>
      </patternFill>
    </fill>
    <fill>
      <patternFill patternType="solid">
        <fgColor rgb="FFFFF2CC"/>
        <bgColor indexed="64"/>
      </patternFill>
    </fill>
    <fill>
      <patternFill patternType="solid">
        <fgColor rgb="FFE2F0D9"/>
        <bgColor indexed="64"/>
      </patternFill>
    </fill>
    <fill>
      <patternFill patternType="solid">
        <fgColor rgb="FFF3F6F9"/>
        <bgColor indexed="64"/>
      </patternFill>
    </fill>
    <fill>
      <patternFill patternType="solid">
        <fgColor rgb="FFD9EAF7"/>
        <bgColor indexed="64"/>
      </patternFill>
    </fill>
    <fill>
      <patternFill patternType="solid">
        <fgColor rgb="FF2F75B5"/>
        <bgColor indexed="64"/>
      </patternFill>
    </fill>
  </fills>
  <borders count="15">
    <border>
      <left/>
      <right/>
      <top/>
      <bottom/>
      <diagonal/>
    </border>
    <border>
      <left/>
      <right/>
      <top style="thin">
        <color rgb="FFFFFFFF"/>
      </top>
      <bottom/>
      <diagonal/>
    </border>
    <border>
      <left/>
      <right/>
      <top/>
      <bottom style="thin">
        <color rgb="FFFFFFFF"/>
      </bottom>
      <diagonal/>
    </border>
    <border>
      <left style="thin">
        <color rgb="FFFFFFFF"/>
      </left>
      <right/>
      <top style="thin">
        <color rgb="FFFFFFFF"/>
      </top>
      <bottom/>
      <diagonal/>
    </border>
    <border>
      <left style="thin">
        <color rgb="FFFFFFFF"/>
      </left>
      <right/>
      <top/>
      <bottom style="thin">
        <color rgb="FFFFFFFF"/>
      </bottom>
      <diagonal/>
    </border>
    <border>
      <left/>
      <right style="thin">
        <color rgb="FFFFFFFF"/>
      </right>
      <top style="thin">
        <color rgb="FFFFFFFF"/>
      </top>
      <bottom/>
      <diagonal/>
    </border>
    <border>
      <left/>
      <right style="thin">
        <color rgb="FFFFFFFF"/>
      </right>
      <top/>
      <bottom style="thin">
        <color rgb="FFFFFFFF"/>
      </bottom>
      <diagonal/>
    </border>
    <border>
      <left/>
      <right/>
      <top/>
      <bottom style="thin">
        <color rgb="FFD6DEE8"/>
      </bottom>
      <diagonal/>
    </border>
    <border>
      <left/>
      <right/>
      <top style="thin">
        <color rgb="FFD6DEE8"/>
      </top>
      <bottom style="thin">
        <color rgb="FFD6DEE8"/>
      </bottom>
      <diagonal/>
    </border>
    <border>
      <left/>
      <right/>
      <top style="thin">
        <color rgb="FFD6DEE8"/>
      </top>
      <bottom style="thin">
        <color rgb="FFAAB7C4"/>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right/>
      <top style="thin">
        <color rgb="FFD9E2F3"/>
      </top>
      <bottom/>
      <diagonal/>
    </border>
    <border>
      <left/>
      <right/>
      <top style="thin">
        <color rgb="FFD9E2F3"/>
      </top>
      <bottom style="thin">
        <color rgb="FFD9E2F3"/>
      </bottom>
      <diagonal/>
    </border>
  </borders>
  <cellStyleXfs count="1">
    <xf numFmtId="0" fontId="0" fillId="0" borderId="0"/>
  </cellStyleXfs>
  <cellXfs count="152">
    <xf numFmtId="0" fontId="0" fillId="0" borderId="0" xfId="0"/>
    <xf numFmtId="0" fontId="1" fillId="0" borderId="0" xfId="0" applyFont="1"/>
    <xf numFmtId="0" fontId="2" fillId="0" borderId="0" xfId="0" applyFont="1"/>
    <xf numFmtId="0" fontId="5" fillId="2" borderId="0" xfId="0" applyFont="1" applyFill="1" applyAlignment="1">
      <alignment vertical="center"/>
    </xf>
    <xf numFmtId="0" fontId="10" fillId="9" borderId="7" xfId="0" applyFont="1" applyFill="1" applyBorder="1" applyAlignment="1">
      <alignment vertical="center" wrapText="1"/>
    </xf>
    <xf numFmtId="0" fontId="10" fillId="9" borderId="8" xfId="0" applyFont="1" applyFill="1" applyBorder="1" applyAlignment="1">
      <alignment vertical="center" wrapText="1"/>
    </xf>
    <xf numFmtId="0" fontId="10" fillId="9" borderId="9" xfId="0" applyFont="1" applyFill="1" applyBorder="1" applyAlignment="1">
      <alignment vertical="center" wrapText="1"/>
    </xf>
    <xf numFmtId="0" fontId="13" fillId="0" borderId="0" xfId="0" applyFont="1"/>
    <xf numFmtId="0" fontId="18" fillId="0" borderId="0" xfId="0" applyFont="1" applyAlignment="1">
      <alignment vertical="center"/>
    </xf>
    <xf numFmtId="0" fontId="8" fillId="3" borderId="0" xfId="0" applyFont="1" applyFill="1" applyAlignment="1">
      <alignment horizontal="center" vertical="center" wrapText="1"/>
    </xf>
    <xf numFmtId="0" fontId="18" fillId="0" borderId="0" xfId="0" applyFont="1" applyAlignment="1">
      <alignment horizontal="center" vertical="top" wrapText="1"/>
    </xf>
    <xf numFmtId="0" fontId="18" fillId="0" borderId="0" xfId="0" applyFont="1" applyAlignment="1">
      <alignment vertical="top" wrapText="1"/>
    </xf>
    <xf numFmtId="0" fontId="18" fillId="0" borderId="0" xfId="0" applyFont="1" applyAlignment="1">
      <alignment horizontal="left" vertical="top" wrapText="1"/>
    </xf>
    <xf numFmtId="165" fontId="18" fillId="0" borderId="0" xfId="0" applyNumberFormat="1" applyFont="1" applyAlignment="1">
      <alignment horizontal="left" vertical="top" wrapText="1"/>
    </xf>
    <xf numFmtId="1" fontId="18" fillId="0" borderId="0" xfId="0" applyNumberFormat="1" applyFont="1" applyAlignment="1">
      <alignment horizontal="center" vertical="top" wrapText="1"/>
    </xf>
    <xf numFmtId="1" fontId="21" fillId="0" borderId="0" xfId="0" applyNumberFormat="1" applyFont="1" applyAlignment="1">
      <alignment horizontal="center" vertical="top" wrapText="1"/>
    </xf>
    <xf numFmtId="0" fontId="21" fillId="12" borderId="0" xfId="0" applyFont="1" applyFill="1" applyAlignment="1">
      <alignment horizontal="center" vertical="top" wrapText="1"/>
    </xf>
    <xf numFmtId="0" fontId="21" fillId="13" borderId="0" xfId="0" applyFont="1" applyFill="1" applyAlignment="1">
      <alignment horizontal="center" vertical="top" wrapText="1"/>
    </xf>
    <xf numFmtId="0" fontId="5" fillId="0" borderId="0" xfId="0" applyFont="1" applyAlignment="1">
      <alignment vertical="center"/>
    </xf>
    <xf numFmtId="0" fontId="26" fillId="3" borderId="0" xfId="0" applyFont="1" applyFill="1" applyAlignment="1">
      <alignment horizontal="center" vertical="center"/>
    </xf>
    <xf numFmtId="0" fontId="27" fillId="3" borderId="0" xfId="0" applyFont="1" applyFill="1" applyAlignment="1">
      <alignment horizontal="center" vertical="center"/>
    </xf>
    <xf numFmtId="0" fontId="22" fillId="15" borderId="3" xfId="0" applyFont="1" applyFill="1" applyBorder="1" applyAlignment="1">
      <alignment horizontal="center" vertical="center" wrapText="1"/>
    </xf>
    <xf numFmtId="0" fontId="23" fillId="16" borderId="3"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5" fillId="20" borderId="0" xfId="0" applyFont="1" applyFill="1" applyAlignment="1">
      <alignment vertical="center"/>
    </xf>
    <xf numFmtId="0" fontId="5" fillId="20" borderId="0" xfId="0" applyFont="1" applyFill="1" applyAlignment="1">
      <alignment horizontal="center" vertical="center"/>
    </xf>
    <xf numFmtId="164" fontId="5" fillId="20" borderId="0" xfId="0" applyNumberFormat="1" applyFont="1" applyFill="1" applyAlignment="1">
      <alignment horizontal="center" vertical="center"/>
    </xf>
    <xf numFmtId="0" fontId="8" fillId="14" borderId="3" xfId="0" applyFont="1" applyFill="1" applyBorder="1" applyAlignment="1">
      <alignment horizontal="center" vertical="center" wrapText="1"/>
    </xf>
    <xf numFmtId="0" fontId="5" fillId="21" borderId="0" xfId="0" applyFont="1" applyFill="1" applyAlignment="1">
      <alignment vertical="center"/>
    </xf>
    <xf numFmtId="0" fontId="5" fillId="21" borderId="0" xfId="0" applyFont="1" applyFill="1" applyAlignment="1">
      <alignment horizontal="center" vertical="center"/>
    </xf>
    <xf numFmtId="164" fontId="5" fillId="21" borderId="0" xfId="0" applyNumberFormat="1" applyFont="1" applyFill="1" applyAlignment="1">
      <alignment horizontal="center" vertical="center"/>
    </xf>
    <xf numFmtId="0" fontId="5" fillId="22" borderId="0" xfId="0" applyFont="1" applyFill="1" applyAlignment="1">
      <alignment vertical="center"/>
    </xf>
    <xf numFmtId="0" fontId="5" fillId="22" borderId="0" xfId="0" applyFont="1" applyFill="1" applyAlignment="1">
      <alignment horizontal="center" vertical="center"/>
    </xf>
    <xf numFmtId="164" fontId="5" fillId="22" borderId="0" xfId="0" applyNumberFormat="1" applyFont="1" applyFill="1" applyAlignment="1">
      <alignment horizontal="center" vertical="center"/>
    </xf>
    <xf numFmtId="0" fontId="23" fillId="16" borderId="12" xfId="0" applyFont="1" applyFill="1" applyBorder="1" applyAlignment="1">
      <alignment horizontal="center" vertical="center" wrapText="1"/>
    </xf>
    <xf numFmtId="0" fontId="5" fillId="23" borderId="0" xfId="0" applyFont="1" applyFill="1" applyAlignment="1">
      <alignment vertical="center"/>
    </xf>
    <xf numFmtId="0" fontId="5" fillId="23" borderId="0" xfId="0" applyFont="1" applyFill="1" applyAlignment="1">
      <alignment horizontal="center" vertical="center"/>
    </xf>
    <xf numFmtId="164" fontId="5" fillId="23" borderId="0" xfId="0" applyNumberFormat="1" applyFont="1" applyFill="1" applyAlignment="1">
      <alignment horizontal="center" vertical="center"/>
    </xf>
    <xf numFmtId="0" fontId="8" fillId="14" borderId="10" xfId="0" applyFont="1" applyFill="1" applyBorder="1" applyAlignment="1">
      <alignment horizontal="center" vertical="center" wrapText="1"/>
    </xf>
    <xf numFmtId="0" fontId="22" fillId="15" borderId="11" xfId="0" applyFont="1" applyFill="1" applyBorder="1" applyAlignment="1">
      <alignment horizontal="center" vertical="center" wrapText="1"/>
    </xf>
    <xf numFmtId="0" fontId="26" fillId="3" borderId="0" xfId="0" applyFont="1" applyFill="1" applyAlignment="1">
      <alignment vertical="center"/>
    </xf>
    <xf numFmtId="0" fontId="5" fillId="0" borderId="0" xfId="0" applyFont="1" applyAlignment="1">
      <alignment vertical="center" wrapText="1"/>
    </xf>
    <xf numFmtId="0" fontId="18" fillId="0" borderId="0" xfId="0" applyFont="1" applyAlignment="1">
      <alignment horizontal="center" vertical="center" wrapText="1"/>
    </xf>
    <xf numFmtId="0" fontId="18" fillId="0" borderId="0" xfId="0" applyFont="1" applyAlignment="1">
      <alignment vertical="center" wrapText="1"/>
    </xf>
    <xf numFmtId="1" fontId="21" fillId="0" borderId="0" xfId="0" applyNumberFormat="1" applyFont="1" applyAlignment="1">
      <alignment horizontal="center" vertical="center" wrapText="1"/>
    </xf>
    <xf numFmtId="0" fontId="18" fillId="20" borderId="0" xfId="0" applyFont="1" applyFill="1" applyAlignment="1">
      <alignment vertical="center"/>
    </xf>
    <xf numFmtId="0" fontId="18" fillId="20" borderId="0" xfId="0" applyFont="1" applyFill="1" applyAlignment="1">
      <alignment horizontal="center" vertical="center"/>
    </xf>
    <xf numFmtId="0" fontId="18" fillId="24" borderId="0" xfId="0" applyFont="1" applyFill="1" applyAlignment="1">
      <alignment horizontal="center" vertical="center" wrapText="1"/>
    </xf>
    <xf numFmtId="0" fontId="18" fillId="24" borderId="0" xfId="0" applyFont="1" applyFill="1" applyAlignment="1">
      <alignment vertical="center" wrapText="1"/>
    </xf>
    <xf numFmtId="1" fontId="21" fillId="24" borderId="0" xfId="0" applyNumberFormat="1" applyFont="1" applyFill="1" applyAlignment="1">
      <alignment horizontal="center" vertical="center" wrapText="1"/>
    </xf>
    <xf numFmtId="0" fontId="18" fillId="21" borderId="0" xfId="0" applyFont="1" applyFill="1" applyAlignment="1">
      <alignment vertical="center"/>
    </xf>
    <xf numFmtId="0" fontId="18" fillId="21" borderId="0" xfId="0" applyFont="1" applyFill="1" applyAlignment="1">
      <alignment horizontal="center" vertical="center"/>
    </xf>
    <xf numFmtId="0" fontId="18" fillId="22" borderId="0" xfId="0" applyFont="1" applyFill="1" applyAlignment="1">
      <alignment vertical="center"/>
    </xf>
    <xf numFmtId="0" fontId="18" fillId="22" borderId="0" xfId="0" applyFont="1" applyFill="1" applyAlignment="1">
      <alignment horizontal="center" vertical="center"/>
    </xf>
    <xf numFmtId="0" fontId="18" fillId="23" borderId="0" xfId="0" applyFont="1" applyFill="1" applyAlignment="1">
      <alignment vertical="center"/>
    </xf>
    <xf numFmtId="0" fontId="18" fillId="23" borderId="0" xfId="0" applyFont="1" applyFill="1" applyAlignment="1">
      <alignment horizontal="center" vertical="center"/>
    </xf>
    <xf numFmtId="165" fontId="13" fillId="0" borderId="0" xfId="0" applyNumberFormat="1" applyFont="1"/>
    <xf numFmtId="0" fontId="13" fillId="0" borderId="0" xfId="0" applyFont="1" applyAlignment="1">
      <alignment wrapText="1"/>
    </xf>
    <xf numFmtId="0" fontId="8" fillId="3" borderId="0" xfId="0" applyFont="1" applyFill="1" applyAlignment="1">
      <alignment horizontal="center" vertical="center"/>
    </xf>
    <xf numFmtId="0" fontId="12" fillId="0" borderId="13" xfId="0" applyFont="1" applyBorder="1"/>
    <xf numFmtId="0" fontId="13" fillId="0" borderId="13" xfId="0" applyFont="1" applyBorder="1"/>
    <xf numFmtId="0" fontId="14" fillId="0" borderId="13" xfId="0" applyFont="1" applyBorder="1" applyAlignment="1">
      <alignment wrapText="1"/>
    </xf>
    <xf numFmtId="0" fontId="10" fillId="9" borderId="8" xfId="0" applyFont="1" applyFill="1" applyBorder="1" applyAlignment="1">
      <alignment vertical="center" wrapText="1"/>
    </xf>
    <xf numFmtId="0" fontId="5" fillId="2" borderId="8" xfId="0" applyFont="1" applyFill="1" applyBorder="1" applyAlignment="1">
      <alignment vertical="center" wrapText="1"/>
    </xf>
    <xf numFmtId="0" fontId="11" fillId="10" borderId="9" xfId="0" applyFont="1" applyFill="1" applyBorder="1" applyAlignment="1">
      <alignment vertical="center" wrapText="1"/>
    </xf>
    <xf numFmtId="0" fontId="12" fillId="0" borderId="0" xfId="0" applyFont="1"/>
    <xf numFmtId="0" fontId="13" fillId="0" borderId="0" xfId="0" applyFont="1"/>
    <xf numFmtId="0" fontId="14" fillId="0" borderId="0" xfId="0" applyFont="1" applyAlignment="1">
      <alignment wrapText="1"/>
    </xf>
    <xf numFmtId="0" fontId="6" fillId="5" borderId="0" xfId="0" applyFont="1" applyFill="1" applyAlignment="1">
      <alignment vertical="center"/>
    </xf>
    <xf numFmtId="0" fontId="10" fillId="9" borderId="7" xfId="0" applyFont="1" applyFill="1" applyBorder="1" applyAlignment="1">
      <alignment vertical="center" wrapText="1"/>
    </xf>
    <xf numFmtId="0" fontId="5" fillId="2" borderId="7" xfId="0" applyFont="1" applyFill="1" applyBorder="1" applyAlignment="1">
      <alignment vertical="center" wrapText="1"/>
    </xf>
    <xf numFmtId="0" fontId="5" fillId="2" borderId="9" xfId="0" applyFont="1" applyFill="1" applyBorder="1" applyAlignment="1">
      <alignment vertical="center" wrapText="1"/>
    </xf>
    <xf numFmtId="0" fontId="9" fillId="8" borderId="0" xfId="0" applyFont="1" applyFill="1" applyAlignment="1">
      <alignment horizontal="left" vertical="center" wrapText="1"/>
    </xf>
    <xf numFmtId="0" fontId="3" fillId="3" borderId="0" xfId="0" applyFont="1" applyFill="1" applyAlignment="1">
      <alignment horizontal="left" vertical="center"/>
    </xf>
    <xf numFmtId="0" fontId="4" fillId="4" borderId="0" xfId="0" applyFont="1" applyFill="1" applyAlignment="1">
      <alignment vertical="center"/>
    </xf>
    <xf numFmtId="0" fontId="6" fillId="3" borderId="0" xfId="0" applyFont="1" applyFill="1" applyAlignment="1">
      <alignment vertical="center"/>
    </xf>
    <xf numFmtId="1" fontId="7" fillId="3" borderId="3" xfId="0" applyNumberFormat="1" applyFont="1" applyFill="1" applyBorder="1" applyAlignment="1">
      <alignment horizontal="center" vertical="center"/>
    </xf>
    <xf numFmtId="1" fontId="7" fillId="3" borderId="1" xfId="0" applyNumberFormat="1" applyFont="1" applyFill="1" applyBorder="1" applyAlignment="1">
      <alignment horizontal="center" vertical="center"/>
    </xf>
    <xf numFmtId="0" fontId="8" fillId="3" borderId="4" xfId="0" applyFont="1" applyFill="1" applyBorder="1" applyAlignment="1">
      <alignment horizontal="center" vertical="center"/>
    </xf>
    <xf numFmtId="0" fontId="8" fillId="3" borderId="2" xfId="0" applyFont="1" applyFill="1" applyBorder="1" applyAlignment="1">
      <alignment horizontal="center" vertical="center"/>
    </xf>
    <xf numFmtId="1" fontId="7" fillId="6" borderId="3" xfId="0" applyNumberFormat="1" applyFont="1" applyFill="1" applyBorder="1" applyAlignment="1">
      <alignment horizontal="center" vertical="center"/>
    </xf>
    <xf numFmtId="1" fontId="7" fillId="6" borderId="1" xfId="0" applyNumberFormat="1" applyFont="1" applyFill="1" applyBorder="1" applyAlignment="1">
      <alignment horizontal="center" vertical="center"/>
    </xf>
    <xf numFmtId="0" fontId="8" fillId="6" borderId="4" xfId="0" applyFont="1" applyFill="1" applyBorder="1" applyAlignment="1">
      <alignment horizontal="center" vertical="center"/>
    </xf>
    <xf numFmtId="0" fontId="8" fillId="6" borderId="2" xfId="0" applyFont="1" applyFill="1" applyBorder="1" applyAlignment="1">
      <alignment horizontal="center" vertical="center"/>
    </xf>
    <xf numFmtId="1" fontId="7" fillId="7" borderId="3" xfId="0" applyNumberFormat="1" applyFont="1" applyFill="1" applyBorder="1" applyAlignment="1">
      <alignment horizontal="center" vertical="center"/>
    </xf>
    <xf numFmtId="1" fontId="7" fillId="7" borderId="1" xfId="0" applyNumberFormat="1" applyFont="1" applyFill="1" applyBorder="1" applyAlignment="1">
      <alignment horizontal="center" vertical="center"/>
    </xf>
    <xf numFmtId="0" fontId="8" fillId="7" borderId="4" xfId="0" applyFont="1" applyFill="1" applyBorder="1" applyAlignment="1">
      <alignment horizontal="center" vertical="center"/>
    </xf>
    <xf numFmtId="0" fontId="8" fillId="7" borderId="2" xfId="0" applyFont="1" applyFill="1" applyBorder="1" applyAlignment="1">
      <alignment horizontal="center" vertical="center"/>
    </xf>
    <xf numFmtId="1" fontId="7" fillId="5" borderId="3" xfId="0" applyNumberFormat="1" applyFont="1" applyFill="1" applyBorder="1" applyAlignment="1">
      <alignment horizontal="center" vertical="center"/>
    </xf>
    <xf numFmtId="1" fontId="7" fillId="5" borderId="5" xfId="0" applyNumberFormat="1" applyFont="1" applyFill="1" applyBorder="1" applyAlignment="1">
      <alignment horizontal="center" vertical="center"/>
    </xf>
    <xf numFmtId="0" fontId="8" fillId="5" borderId="4" xfId="0" applyFont="1" applyFill="1" applyBorder="1" applyAlignment="1">
      <alignment horizontal="center" vertical="center"/>
    </xf>
    <xf numFmtId="0" fontId="8" fillId="5" borderId="6" xfId="0" applyFont="1" applyFill="1" applyBorder="1" applyAlignment="1">
      <alignment horizontal="center" vertical="center"/>
    </xf>
    <xf numFmtId="0" fontId="12" fillId="0" borderId="14" xfId="0" applyFont="1" applyBorder="1"/>
    <xf numFmtId="0" fontId="13" fillId="0" borderId="14" xfId="0" applyFont="1" applyBorder="1"/>
    <xf numFmtId="0" fontId="14" fillId="0" borderId="14" xfId="0" applyFont="1" applyBorder="1" applyAlignment="1">
      <alignment wrapText="1"/>
    </xf>
    <xf numFmtId="0" fontId="15" fillId="3" borderId="0" xfId="0" applyFont="1" applyFill="1"/>
    <xf numFmtId="0" fontId="16" fillId="3" borderId="0" xfId="0" applyFont="1" applyFill="1" applyAlignment="1">
      <alignment vertical="center"/>
    </xf>
    <xf numFmtId="0" fontId="17" fillId="24" borderId="0" xfId="0" applyFont="1" applyFill="1" applyAlignment="1">
      <alignment vertical="center"/>
    </xf>
    <xf numFmtId="0" fontId="20" fillId="11" borderId="0" xfId="0" applyFont="1" applyFill="1" applyAlignment="1">
      <alignment vertical="center" wrapText="1"/>
    </xf>
    <xf numFmtId="0" fontId="19" fillId="25" borderId="0" xfId="0" applyFont="1" applyFill="1" applyAlignment="1">
      <alignment horizontal="center" vertical="center"/>
    </xf>
    <xf numFmtId="0" fontId="35" fillId="3" borderId="0" xfId="0" applyFont="1" applyFill="1" applyAlignment="1">
      <alignment vertical="center"/>
    </xf>
    <xf numFmtId="0" fontId="17" fillId="0" borderId="0" xfId="0" applyFont="1" applyAlignment="1">
      <alignment vertical="center"/>
    </xf>
    <xf numFmtId="0" fontId="13" fillId="24" borderId="0" xfId="0" applyFont="1" applyFill="1" applyAlignment="1">
      <alignment wrapText="1"/>
    </xf>
    <xf numFmtId="0" fontId="6" fillId="26" borderId="0" xfId="0" applyFont="1" applyFill="1" applyAlignment="1">
      <alignment vertical="center"/>
    </xf>
    <xf numFmtId="0" fontId="24" fillId="22" borderId="0" xfId="0" applyFont="1" applyFill="1" applyAlignment="1">
      <alignment wrapText="1"/>
    </xf>
    <xf numFmtId="0" fontId="6" fillId="5" borderId="0" xfId="0" applyFont="1" applyFill="1"/>
    <xf numFmtId="0" fontId="5" fillId="11" borderId="0" xfId="0" applyFont="1" applyFill="1" applyAlignment="1">
      <alignment vertical="center" wrapText="1"/>
    </xf>
    <xf numFmtId="0" fontId="28" fillId="11" borderId="0" xfId="0" applyFont="1" applyFill="1" applyAlignment="1">
      <alignment vertical="center" wrapText="1"/>
    </xf>
    <xf numFmtId="0" fontId="30" fillId="3" borderId="0" xfId="0" applyFont="1" applyFill="1" applyAlignment="1">
      <alignment horizontal="center"/>
    </xf>
    <xf numFmtId="0" fontId="3" fillId="3" borderId="0" xfId="0" applyFont="1" applyFill="1" applyAlignment="1">
      <alignment vertical="center"/>
    </xf>
    <xf numFmtId="0" fontId="6" fillId="6" borderId="0" xfId="0" applyFont="1" applyFill="1" applyAlignment="1">
      <alignment horizontal="center" vertical="center"/>
    </xf>
    <xf numFmtId="0" fontId="6" fillId="17" borderId="0" xfId="0" applyFont="1" applyFill="1" applyAlignment="1">
      <alignment horizontal="center" vertical="center"/>
    </xf>
    <xf numFmtId="0" fontId="6" fillId="18" borderId="0" xfId="0" applyFont="1" applyFill="1" applyAlignment="1">
      <alignment horizontal="center" vertical="center"/>
    </xf>
    <xf numFmtId="0" fontId="6" fillId="19" borderId="0" xfId="0" applyFont="1" applyFill="1" applyAlignment="1">
      <alignment horizontal="center" vertical="center"/>
    </xf>
    <xf numFmtId="0" fontId="25" fillId="8" borderId="0" xfId="0" applyFont="1" applyFill="1" applyAlignment="1">
      <alignment vertical="center" wrapText="1"/>
    </xf>
    <xf numFmtId="0" fontId="28" fillId="0" borderId="0" xfId="0" applyFont="1" applyAlignment="1">
      <alignment horizontal="center" vertical="center"/>
    </xf>
    <xf numFmtId="0" fontId="29" fillId="11" borderId="0" xfId="0" applyFont="1" applyFill="1" applyAlignment="1">
      <alignment vertical="center" wrapText="1"/>
    </xf>
    <xf numFmtId="0" fontId="5" fillId="8" borderId="0" xfId="0" applyFont="1" applyFill="1" applyAlignment="1">
      <alignment vertical="center" wrapText="1"/>
    </xf>
    <xf numFmtId="0" fontId="26" fillId="3" borderId="0" xfId="0" applyFont="1" applyFill="1" applyAlignment="1">
      <alignment vertical="center"/>
    </xf>
    <xf numFmtId="0" fontId="8" fillId="3" borderId="0" xfId="0" applyFont="1" applyFill="1" applyAlignment="1">
      <alignment horizontal="center" vertical="center" wrapText="1"/>
    </xf>
    <xf numFmtId="0" fontId="31" fillId="3" borderId="0" xfId="0" applyFont="1" applyFill="1" applyAlignment="1">
      <alignment horizontal="center" vertical="center"/>
    </xf>
    <xf numFmtId="0" fontId="31" fillId="6" borderId="0" xfId="0" applyFont="1" applyFill="1" applyAlignment="1">
      <alignment horizontal="center" vertical="center"/>
    </xf>
    <xf numFmtId="0" fontId="31" fillId="7" borderId="0" xfId="0" applyFont="1" applyFill="1" applyAlignment="1">
      <alignment horizontal="center" vertical="center"/>
    </xf>
    <xf numFmtId="0" fontId="31" fillId="5" borderId="0" xfId="0" applyFont="1" applyFill="1" applyAlignment="1">
      <alignment horizontal="center" vertical="center"/>
    </xf>
    <xf numFmtId="0" fontId="32" fillId="11" borderId="0" xfId="0" applyFont="1" applyFill="1" applyAlignment="1">
      <alignment wrapText="1"/>
    </xf>
    <xf numFmtId="0" fontId="6" fillId="5" borderId="0" xfId="0" applyFont="1" applyFill="1" applyAlignment="1">
      <alignment horizontal="center" vertical="center"/>
    </xf>
    <xf numFmtId="0" fontId="18" fillId="24" borderId="0" xfId="0" applyFont="1" applyFill="1" applyAlignment="1">
      <alignment vertical="center" wrapText="1"/>
    </xf>
    <xf numFmtId="0" fontId="18" fillId="24" borderId="0" xfId="0" applyFont="1" applyFill="1" applyAlignment="1">
      <alignment horizontal="center" vertical="center" wrapText="1"/>
    </xf>
    <xf numFmtId="0" fontId="18" fillId="0" borderId="0" xfId="0" applyFont="1" applyAlignment="1">
      <alignment vertical="center" wrapText="1"/>
    </xf>
    <xf numFmtId="0" fontId="18" fillId="0" borderId="0" xfId="0" applyFont="1" applyAlignment="1">
      <alignment horizontal="center" vertical="center" wrapText="1"/>
    </xf>
    <xf numFmtId="0" fontId="30" fillId="3" borderId="0" xfId="0" applyFont="1" applyFill="1" applyAlignment="1">
      <alignment horizontal="center" vertical="center"/>
    </xf>
    <xf numFmtId="0" fontId="33" fillId="25" borderId="0" xfId="0" applyFont="1" applyFill="1" applyAlignment="1">
      <alignment horizontal="center" vertical="center"/>
    </xf>
    <xf numFmtId="0" fontId="6" fillId="3" borderId="0" xfId="0" applyFont="1" applyFill="1" applyAlignment="1">
      <alignment horizontal="center" vertical="center" wrapText="1"/>
    </xf>
    <xf numFmtId="0" fontId="24" fillId="24" borderId="0" xfId="0" applyFont="1" applyFill="1" applyAlignment="1">
      <alignment wrapText="1"/>
    </xf>
    <xf numFmtId="164" fontId="33" fillId="25" borderId="0" xfId="0" applyNumberFormat="1" applyFont="1" applyFill="1" applyAlignment="1">
      <alignment horizontal="center" vertical="center"/>
    </xf>
    <xf numFmtId="0" fontId="8" fillId="3" borderId="0" xfId="0" applyFont="1" applyFill="1" applyAlignment="1">
      <alignment horizontal="center" vertical="center"/>
    </xf>
    <xf numFmtId="0" fontId="6" fillId="3" borderId="0" xfId="0" applyFont="1" applyFill="1" applyAlignment="1">
      <alignment horizontal="center" vertical="center"/>
    </xf>
    <xf numFmtId="0" fontId="6" fillId="7" borderId="0" xfId="0" applyFont="1" applyFill="1" applyAlignment="1">
      <alignment horizontal="center" vertical="center"/>
    </xf>
    <xf numFmtId="0" fontId="34" fillId="23" borderId="0" xfId="0" applyFont="1" applyFill="1" applyAlignment="1">
      <alignment horizontal="center" vertical="center" wrapText="1"/>
    </xf>
    <xf numFmtId="0" fontId="36" fillId="0" borderId="0" xfId="0" applyFont="1"/>
    <xf numFmtId="0" fontId="36" fillId="0" borderId="0" xfId="0" applyFont="1"/>
    <xf numFmtId="0" fontId="36" fillId="0" borderId="0" xfId="0" applyFont="1" applyAlignment="1">
      <alignment wrapText="1"/>
    </xf>
    <xf numFmtId="0" fontId="37" fillId="23" borderId="0" xfId="0" applyFont="1" applyFill="1"/>
    <xf numFmtId="0" fontId="36" fillId="0" borderId="13" xfId="0" applyFont="1" applyBorder="1"/>
    <xf numFmtId="0" fontId="36" fillId="0" borderId="13" xfId="0" applyFont="1" applyBorder="1"/>
    <xf numFmtId="0" fontId="36" fillId="0" borderId="13" xfId="0" applyFont="1" applyBorder="1" applyAlignment="1">
      <alignment wrapText="1"/>
    </xf>
    <xf numFmtId="0" fontId="37" fillId="23" borderId="13" xfId="0" applyFont="1" applyFill="1" applyBorder="1"/>
    <xf numFmtId="0" fontId="36" fillId="0" borderId="14" xfId="0" applyFont="1" applyBorder="1"/>
    <xf numFmtId="0" fontId="36" fillId="0" borderId="14" xfId="0" applyFont="1" applyBorder="1"/>
    <xf numFmtId="0" fontId="36" fillId="0" borderId="14" xfId="0" applyFont="1" applyBorder="1" applyAlignment="1">
      <alignment wrapText="1"/>
    </xf>
    <xf numFmtId="0" fontId="37" fillId="23" borderId="14" xfId="0" applyFont="1" applyFill="1" applyBorder="1"/>
  </cellXfs>
  <cellStyles count="1">
    <cellStyle name="Normal" xfId="0" builtinId="0"/>
  </cellStyles>
  <dxfs count="67">
    <dxf>
      <font>
        <b/>
        <i val="0"/>
        <color rgb="FFFFFFFF"/>
      </font>
      <fill>
        <patternFill patternType="solid">
          <fgColor indexed="64"/>
          <bgColor rgb="FF70AD47"/>
        </patternFill>
      </fill>
    </dxf>
    <dxf>
      <font>
        <b/>
        <i val="0"/>
        <color rgb="FF3B3300"/>
      </font>
      <fill>
        <patternFill patternType="solid">
          <fgColor indexed="64"/>
          <bgColor rgb="FFFFE699"/>
        </patternFill>
      </fill>
    </dxf>
    <dxf>
      <font>
        <b/>
        <i val="0"/>
        <color rgb="FFFFFFFF"/>
      </font>
      <fill>
        <patternFill patternType="solid">
          <fgColor indexed="64"/>
          <bgColor rgb="FFB42318"/>
        </patternFill>
      </fill>
    </dxf>
    <dxf>
      <font>
        <b/>
        <i val="0"/>
        <color rgb="FFFFFFFF"/>
      </font>
      <fill>
        <patternFill patternType="solid">
          <fgColor indexed="64"/>
          <bgColor rgb="FF70AD47"/>
        </patternFill>
      </fill>
    </dxf>
    <dxf>
      <font>
        <b/>
        <i val="0"/>
        <color rgb="FF3B3300"/>
      </font>
      <fill>
        <patternFill patternType="solid">
          <fgColor indexed="64"/>
          <bgColor rgb="FFFFE699"/>
        </patternFill>
      </fill>
    </dxf>
    <dxf>
      <font>
        <b/>
        <i val="0"/>
        <color rgb="FF3B2500"/>
      </font>
      <fill>
        <patternFill patternType="solid">
          <fgColor indexed="64"/>
          <bgColor rgb="FFF4B183"/>
        </patternFill>
      </fill>
    </dxf>
    <dxf>
      <font>
        <b/>
        <i val="0"/>
        <color rgb="FFFFFFFF"/>
      </font>
      <fill>
        <patternFill patternType="solid">
          <fgColor indexed="64"/>
          <bgColor rgb="FFB42318"/>
        </patternFill>
      </fill>
    </dxf>
    <dxf>
      <font>
        <b/>
        <i val="0"/>
        <color rgb="FFFFFFFF"/>
      </font>
      <fill>
        <patternFill patternType="solid">
          <fgColor indexed="64"/>
          <bgColor rgb="FF70AD47"/>
        </patternFill>
      </fill>
    </dxf>
    <dxf>
      <font>
        <b/>
        <i val="0"/>
        <color rgb="FF3B3300"/>
      </font>
      <fill>
        <patternFill patternType="solid">
          <fgColor indexed="64"/>
          <bgColor rgb="FFFFE699"/>
        </patternFill>
      </fill>
    </dxf>
    <dxf>
      <font>
        <b/>
        <i val="0"/>
        <color rgb="FF3B2500"/>
      </font>
      <fill>
        <patternFill patternType="solid">
          <fgColor indexed="64"/>
          <bgColor rgb="FFF4B183"/>
        </patternFill>
      </fill>
    </dxf>
    <dxf>
      <font>
        <b/>
        <i val="0"/>
        <color rgb="FFFFFFFF"/>
      </font>
      <fill>
        <patternFill patternType="solid">
          <fgColor indexed="64"/>
          <bgColor rgb="FFB42318"/>
        </patternFill>
      </fill>
    </dxf>
    <dxf>
      <font>
        <b/>
        <i val="0"/>
        <color rgb="FFFFFFFF"/>
      </font>
      <fill>
        <patternFill patternType="solid">
          <fgColor indexed="64"/>
          <bgColor rgb="FF70AD47"/>
        </patternFill>
      </fill>
    </dxf>
    <dxf>
      <font>
        <b/>
        <i val="0"/>
        <color rgb="FF3B3300"/>
      </font>
      <fill>
        <patternFill patternType="solid">
          <fgColor indexed="64"/>
          <bgColor rgb="FFFFE699"/>
        </patternFill>
      </fill>
    </dxf>
    <dxf>
      <font>
        <b/>
        <i val="0"/>
        <color rgb="FFFFFFFF"/>
      </font>
      <fill>
        <patternFill patternType="solid">
          <fgColor indexed="64"/>
          <bgColor rgb="FFB42318"/>
        </patternFill>
      </fill>
    </dxf>
    <dxf>
      <font>
        <name val="Aptos"/>
      </font>
      <alignment wrapText="1"/>
    </dxf>
    <dxf>
      <font>
        <name val="Aptos"/>
      </font>
      <alignment wrapText="1"/>
    </dxf>
    <dxf>
      <font>
        <name val="Aptos"/>
      </font>
      <alignment wrapText="1"/>
    </dxf>
    <dxf>
      <font>
        <name val="Aptos"/>
      </font>
      <alignment wrapText="1"/>
    </dxf>
    <dxf>
      <font>
        <name val="Aptos"/>
      </font>
    </dxf>
    <dxf>
      <font>
        <name val="Aptos"/>
      </font>
      <alignment wrapText="1"/>
    </dxf>
    <dxf>
      <font>
        <name val="Aptos"/>
      </font>
    </dxf>
    <dxf>
      <font>
        <name val="Aptos"/>
      </font>
      <numFmt numFmtId="165" formatCode="yyyy\-mm\-dd"/>
    </dxf>
    <dxf>
      <font>
        <name val="Aptos"/>
      </font>
      <alignment wrapText="1"/>
    </dxf>
    <dxf>
      <font>
        <name val="Aptos"/>
      </font>
      <alignment wrapText="1"/>
    </dxf>
    <dxf>
      <font>
        <name val="Aptos"/>
      </font>
    </dxf>
    <dxf>
      <font>
        <name val="Aptos"/>
      </font>
    </dxf>
    <dxf>
      <font>
        <name val="Aptos"/>
      </font>
    </dxf>
    <dxf>
      <font>
        <name val="Aptos"/>
      </font>
    </dxf>
    <dxf>
      <font>
        <name val="Aptos"/>
      </font>
    </dxf>
    <dxf>
      <font>
        <name val="Aptos"/>
      </font>
      <alignment wrapText="1"/>
    </dxf>
    <dxf>
      <font>
        <name val="Aptos"/>
      </font>
      <alignment wrapText="1"/>
    </dxf>
    <dxf>
      <font>
        <name val="Aptos"/>
      </font>
      <alignment wrapText="1"/>
    </dxf>
    <dxf>
      <font>
        <name val="Aptos"/>
      </font>
      <numFmt numFmtId="165" formatCode="yyyy\-mm\-dd"/>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strike val="0"/>
        <outline val="0"/>
        <shadow val="0"/>
        <u val="none"/>
        <vertAlign val="baseline"/>
        <sz val="9"/>
        <color rgb="FF1F2937"/>
        <name val="Aptos"/>
        <scheme val="none"/>
      </font>
      <alignment vertical="top" wrapText="1"/>
    </dxf>
    <dxf>
      <font>
        <strike val="0"/>
        <outline val="0"/>
        <shadow val="0"/>
        <u val="none"/>
        <vertAlign val="baseline"/>
        <sz val="9"/>
        <color rgb="FF1F2937"/>
        <name val="Aptos"/>
        <scheme val="none"/>
      </font>
      <alignment vertical="top" wrapText="1"/>
    </dxf>
    <dxf>
      <font>
        <b/>
        <strike val="0"/>
        <outline val="0"/>
        <shadow val="0"/>
        <u val="none"/>
        <vertAlign val="baseline"/>
        <sz val="9"/>
        <color rgb="FF1F2937"/>
        <name val="Aptos"/>
        <scheme val="none"/>
      </font>
      <fill>
        <patternFill patternType="solid">
          <fgColor indexed="64"/>
          <bgColor rgb="FFF7F7F7"/>
        </patternFill>
      </fill>
      <alignment horizontal="center" vertical="top" wrapText="1"/>
    </dxf>
    <dxf>
      <font>
        <b/>
        <strike val="0"/>
        <outline val="0"/>
        <shadow val="0"/>
        <u val="none"/>
        <vertAlign val="baseline"/>
        <sz val="9"/>
        <color rgb="FF1F2937"/>
        <name val="Aptos"/>
        <scheme val="none"/>
      </font>
      <fill>
        <patternFill patternType="solid">
          <fgColor indexed="64"/>
          <bgColor rgb="FFEEF3F8"/>
        </patternFill>
      </fill>
      <alignment horizontal="center" vertical="top" wrapText="1"/>
    </dxf>
    <dxf>
      <font>
        <b/>
        <strike val="0"/>
        <outline val="0"/>
        <shadow val="0"/>
        <u val="none"/>
        <vertAlign val="baseline"/>
        <sz val="9"/>
        <color rgb="FF1F2937"/>
        <name val="Aptos"/>
        <scheme val="none"/>
      </font>
      <numFmt numFmtId="1" formatCode="0"/>
      <alignment horizontal="center" vertical="top" wrapText="1"/>
    </dxf>
    <dxf>
      <font>
        <strike val="0"/>
        <outline val="0"/>
        <shadow val="0"/>
        <u val="none"/>
        <vertAlign val="baseline"/>
        <sz val="9"/>
        <color rgb="FF1F2937"/>
        <name val="Aptos"/>
        <scheme val="none"/>
      </font>
      <numFmt numFmtId="1" formatCode="0"/>
      <alignment horizontal="center" vertical="top" wrapText="1"/>
    </dxf>
    <dxf>
      <font>
        <strike val="0"/>
        <outline val="0"/>
        <shadow val="0"/>
        <u val="none"/>
        <vertAlign val="baseline"/>
        <sz val="9"/>
        <color rgb="FF1F2937"/>
        <name val="Aptos"/>
        <scheme val="none"/>
      </font>
      <numFmt numFmtId="1" formatCode="0"/>
      <alignment horizontal="center" vertical="top" wrapText="1"/>
    </dxf>
    <dxf>
      <font>
        <b val="0"/>
        <i val="0"/>
        <strike val="0"/>
        <condense val="0"/>
        <extend val="0"/>
        <outline val="0"/>
        <shadow val="0"/>
        <u val="none"/>
        <vertAlign val="baseline"/>
        <sz val="9"/>
        <color rgb="FF1F2937"/>
        <name val="Aptos"/>
        <scheme val="none"/>
      </font>
      <alignment horizontal="general" vertical="top" textRotation="0" wrapText="1" indent="0" justifyLastLine="0" shrinkToFit="0" readingOrder="0"/>
    </dxf>
    <dxf>
      <font>
        <strike val="0"/>
        <outline val="0"/>
        <shadow val="0"/>
        <u val="none"/>
        <vertAlign val="baseline"/>
        <sz val="9"/>
        <color rgb="FF1F2937"/>
        <name val="Aptos"/>
        <scheme val="none"/>
      </font>
      <alignment vertical="top" wrapText="1"/>
    </dxf>
    <dxf>
      <font>
        <strike val="0"/>
        <outline val="0"/>
        <shadow val="0"/>
        <u val="none"/>
        <vertAlign val="baseline"/>
        <sz val="9"/>
        <color rgb="FF1F2937"/>
        <name val="Aptos"/>
        <scheme val="none"/>
      </font>
      <alignment horizontal="center" vertical="top" wrapText="1"/>
    </dxf>
    <dxf>
      <font>
        <strike val="0"/>
        <outline val="0"/>
        <shadow val="0"/>
        <u val="none"/>
        <vertAlign val="baseline"/>
        <sz val="9"/>
        <color rgb="FF1F2937"/>
        <name val="Aptos"/>
        <scheme val="none"/>
      </font>
      <alignment vertical="top" wrapText="1"/>
    </dxf>
    <dxf>
      <font>
        <b/>
        <strike val="0"/>
        <outline val="0"/>
        <shadow val="0"/>
        <u val="none"/>
        <vertAlign val="baseline"/>
        <sz val="9"/>
        <color rgb="FF1F2937"/>
        <name val="Aptos"/>
        <scheme val="none"/>
      </font>
      <numFmt numFmtId="1" formatCode="0"/>
      <alignment horizontal="center" vertical="top" wrapText="1"/>
    </dxf>
    <dxf>
      <font>
        <strike val="0"/>
        <outline val="0"/>
        <shadow val="0"/>
        <u val="none"/>
        <vertAlign val="baseline"/>
        <sz val="9"/>
        <color rgb="FF1F2937"/>
        <name val="Aptos"/>
        <scheme val="none"/>
      </font>
      <numFmt numFmtId="1" formatCode="0"/>
      <alignment horizontal="center" vertical="top" wrapText="1"/>
    </dxf>
    <dxf>
      <font>
        <strike val="0"/>
        <outline val="0"/>
        <shadow val="0"/>
        <u val="none"/>
        <vertAlign val="baseline"/>
        <sz val="9"/>
        <color rgb="FF1F2937"/>
        <name val="Aptos"/>
        <scheme val="none"/>
      </font>
      <numFmt numFmtId="1" formatCode="0"/>
      <alignment horizontal="center" vertical="top" wrapText="1"/>
    </dxf>
    <dxf>
      <font>
        <b val="0"/>
        <i val="0"/>
        <strike val="0"/>
        <condense val="0"/>
        <extend val="0"/>
        <outline val="0"/>
        <shadow val="0"/>
        <u val="none"/>
        <vertAlign val="baseline"/>
        <sz val="9"/>
        <color rgb="FF1F2937"/>
        <name val="Aptos"/>
        <scheme val="none"/>
      </font>
      <numFmt numFmtId="165" formatCode="yyyy\-mm\-dd"/>
      <alignment horizontal="left" vertical="top" textRotation="0" wrapText="1" indent="0" justifyLastLine="0" shrinkToFit="0" readingOrder="0"/>
    </dxf>
    <dxf>
      <font>
        <b val="0"/>
        <i val="0"/>
        <strike val="0"/>
        <condense val="0"/>
        <extend val="0"/>
        <outline val="0"/>
        <shadow val="0"/>
        <u val="none"/>
        <vertAlign val="baseline"/>
        <sz val="9"/>
        <color rgb="FF1F2937"/>
        <name val="Aptos"/>
        <scheme val="none"/>
      </font>
      <numFmt numFmtId="165" formatCode="yyyy\-mm\-dd"/>
      <alignment horizontal="left" vertical="top" textRotation="0" wrapText="1" indent="0" justifyLastLine="0" shrinkToFit="0" readingOrder="0"/>
    </dxf>
    <dxf>
      <font>
        <strike val="0"/>
        <outline val="0"/>
        <shadow val="0"/>
        <u val="none"/>
        <vertAlign val="baseline"/>
        <sz val="9"/>
        <color rgb="FF1F2937"/>
        <name val="Aptos"/>
        <scheme val="none"/>
      </font>
      <alignment horizontal="left" vertical="top" wrapText="1"/>
    </dxf>
    <dxf>
      <font>
        <strike val="0"/>
        <outline val="0"/>
        <shadow val="0"/>
        <u val="none"/>
        <vertAlign val="baseline"/>
        <sz val="9"/>
        <color rgb="FF1F2937"/>
        <name val="Aptos"/>
        <scheme val="none"/>
      </font>
      <alignment vertical="top" wrapText="1"/>
    </dxf>
    <dxf>
      <font>
        <strike val="0"/>
        <outline val="0"/>
        <shadow val="0"/>
        <u val="none"/>
        <vertAlign val="baseline"/>
        <sz val="9"/>
        <color rgb="FF1F2937"/>
        <name val="Aptos"/>
        <scheme val="none"/>
      </font>
      <alignment horizontal="left" vertical="top" wrapText="1"/>
    </dxf>
    <dxf>
      <font>
        <strike val="0"/>
        <outline val="0"/>
        <shadow val="0"/>
        <u val="none"/>
        <vertAlign val="baseline"/>
        <sz val="9"/>
        <color rgb="FF1F2937"/>
        <name val="Aptos"/>
        <scheme val="none"/>
      </font>
      <alignment vertical="top" wrapText="1"/>
    </dxf>
    <dxf>
      <font>
        <strike val="0"/>
        <outline val="0"/>
        <shadow val="0"/>
        <u val="none"/>
        <vertAlign val="baseline"/>
        <sz val="9"/>
        <color rgb="FF1F2937"/>
        <name val="Aptos"/>
        <scheme val="none"/>
      </font>
      <alignment vertical="top" wrapText="1"/>
    </dxf>
    <dxf>
      <font>
        <strike val="0"/>
        <outline val="0"/>
        <shadow val="0"/>
        <u val="none"/>
        <vertAlign val="baseline"/>
        <sz val="9"/>
        <color rgb="FF1F2937"/>
        <name val="Aptos"/>
        <scheme val="none"/>
      </font>
      <alignment horizontal="center" vertical="top" wrapText="1"/>
    </dxf>
    <dxf>
      <font>
        <strike val="0"/>
        <outline val="0"/>
        <shadow val="0"/>
        <u val="none"/>
        <vertAlign val="baseline"/>
        <sz val="9"/>
        <color rgb="FF1F2937"/>
        <name val="Aptos"/>
        <scheme val="none"/>
      </font>
      <alignment vertical="top" wrapText="1"/>
    </dxf>
    <dxf>
      <font>
        <b/>
        <strike val="0"/>
        <outline val="0"/>
        <shadow val="0"/>
        <u val="none"/>
        <vertAlign val="baseline"/>
        <sz val="9"/>
        <color rgb="FFFFFFFF"/>
        <name val="Aptos"/>
        <scheme val="none"/>
      </font>
      <fill>
        <patternFill patternType="solid">
          <fgColor indexed="64"/>
          <bgColor rgb="FF17365D"/>
        </patternFill>
      </fill>
      <alignment horizontal="center"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Aptos"/>
                <a:ea typeface="Aptos"/>
                <a:cs typeface="Aptos"/>
              </a:defRPr>
            </a:pPr>
            <a:r>
              <a:rPr lang="en-US"/>
              <a:t>Residual Risk Positions by Zone</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Aptos"/>
              <a:ea typeface="Aptos"/>
              <a:cs typeface="Aptos"/>
            </a:defRPr>
          </a:pPr>
          <a:endParaRPr lang="en-US"/>
        </a:p>
      </c:txPr>
    </c:title>
    <c:autoTitleDeleted val="0"/>
    <c:plotArea>
      <c:layout/>
      <c:scatterChart>
        <c:scatterStyle val="lineMarker"/>
        <c:varyColors val="0"/>
        <c:ser>
          <c:idx val="1"/>
          <c:order val="0"/>
          <c:tx>
            <c:v>Critical</c:v>
          </c:tx>
          <c:spPr>
            <a:ln w="25400" cap="rnd">
              <a:noFill/>
              <a:round/>
            </a:ln>
            <a:effectLst/>
          </c:spPr>
          <c:marker>
            <c:symbol val="circle"/>
            <c:size val="8"/>
            <c:spPr>
              <a:solidFill>
                <a:srgbClr val="C00000"/>
              </a:solidFill>
              <a:ln w="9525">
                <a:solidFill>
                  <a:srgbClr val="C00000"/>
                </a:solidFill>
                <a:prstDash val="solid"/>
              </a:ln>
              <a:effectLst/>
            </c:spPr>
          </c:marker>
          <c:xVal>
            <c:strRef>
              <c:f>'HEAT MAP SUPPORT'!$E$2:$E$31</c:f>
              <c:strCache>
                <c:ptCount val="28"/>
                <c:pt idx="4">
                  <c:v>5</c:v>
                </c:pt>
                <c:pt idx="6">
                  <c:v>5</c:v>
                </c:pt>
                <c:pt idx="9">
                  <c:v>5</c:v>
                </c:pt>
                <c:pt idx="27">
                  <c:v>5</c:v>
                </c:pt>
              </c:strCache>
            </c:strRef>
          </c:xVal>
          <c:yVal>
            <c:numRef>
              <c:f>'HEAT MAP SUPPORT'!$F$2:$F$31</c:f>
              <c:numCache>
                <c:formatCode>General</c:formatCode>
                <c:ptCount val="30"/>
                <c:pt idx="0">
                  <c:v>0</c:v>
                </c:pt>
                <c:pt idx="1">
                  <c:v>0</c:v>
                </c:pt>
                <c:pt idx="2">
                  <c:v>0</c:v>
                </c:pt>
                <c:pt idx="3">
                  <c:v>0</c:v>
                </c:pt>
                <c:pt idx="4">
                  <c:v>3</c:v>
                </c:pt>
                <c:pt idx="5">
                  <c:v>0</c:v>
                </c:pt>
                <c:pt idx="6">
                  <c:v>4</c:v>
                </c:pt>
                <c:pt idx="7">
                  <c:v>0</c:v>
                </c:pt>
                <c:pt idx="8">
                  <c:v>0</c:v>
                </c:pt>
                <c:pt idx="9">
                  <c:v>4</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3</c:v>
                </c:pt>
                <c:pt idx="28">
                  <c:v>0</c:v>
                </c:pt>
                <c:pt idx="29">
                  <c:v>0</c:v>
                </c:pt>
              </c:numCache>
            </c:numRef>
          </c:yVal>
          <c:smooth val="0"/>
          <c:extLst>
            <c:ext xmlns:c16="http://schemas.microsoft.com/office/drawing/2014/chart" uri="{C3380CC4-5D6E-409C-BE32-E72D297353CC}">
              <c16:uniqueId val="{00000001-CEAC-481C-9A8C-D31DC810D350}"/>
            </c:ext>
          </c:extLst>
        </c:ser>
        <c:ser>
          <c:idx val="2"/>
          <c:order val="1"/>
          <c:tx>
            <c:v>High</c:v>
          </c:tx>
          <c:spPr>
            <a:ln w="25400" cap="rnd">
              <a:noFill/>
              <a:round/>
            </a:ln>
            <a:effectLst/>
          </c:spPr>
          <c:marker>
            <c:symbol val="circle"/>
            <c:size val="8"/>
            <c:spPr>
              <a:solidFill>
                <a:srgbClr val="ED7D31"/>
              </a:solidFill>
              <a:ln w="9525">
                <a:solidFill>
                  <a:srgbClr val="ED7D31"/>
                </a:solidFill>
                <a:prstDash val="solid"/>
              </a:ln>
              <a:effectLst/>
            </c:spPr>
          </c:marker>
          <c:xVal>
            <c:strRef>
              <c:f>'HEAT MAP SUPPORT'!$G$2:$G$31</c:f>
              <c:strCache>
                <c:ptCount val="17"/>
                <c:pt idx="0">
                  <c:v>4</c:v>
                </c:pt>
                <c:pt idx="3">
                  <c:v>4</c:v>
                </c:pt>
                <c:pt idx="13">
                  <c:v>4</c:v>
                </c:pt>
                <c:pt idx="16">
                  <c:v>4</c:v>
                </c:pt>
              </c:strCache>
            </c:strRef>
          </c:xVal>
          <c:yVal>
            <c:numRef>
              <c:f>'HEAT MAP SUPPORT'!$H$2:$H$31</c:f>
              <c:numCache>
                <c:formatCode>General</c:formatCode>
                <c:ptCount val="30"/>
                <c:pt idx="0">
                  <c:v>3</c:v>
                </c:pt>
                <c:pt idx="1">
                  <c:v>0</c:v>
                </c:pt>
                <c:pt idx="2">
                  <c:v>0</c:v>
                </c:pt>
                <c:pt idx="3">
                  <c:v>3</c:v>
                </c:pt>
                <c:pt idx="4">
                  <c:v>0</c:v>
                </c:pt>
                <c:pt idx="5">
                  <c:v>0</c:v>
                </c:pt>
                <c:pt idx="6">
                  <c:v>0</c:v>
                </c:pt>
                <c:pt idx="7">
                  <c:v>0</c:v>
                </c:pt>
                <c:pt idx="8">
                  <c:v>0</c:v>
                </c:pt>
                <c:pt idx="9">
                  <c:v>0</c:v>
                </c:pt>
                <c:pt idx="10">
                  <c:v>0</c:v>
                </c:pt>
                <c:pt idx="11">
                  <c:v>0</c:v>
                </c:pt>
                <c:pt idx="12">
                  <c:v>0</c:v>
                </c:pt>
                <c:pt idx="13">
                  <c:v>3</c:v>
                </c:pt>
                <c:pt idx="14">
                  <c:v>0</c:v>
                </c:pt>
                <c:pt idx="15">
                  <c:v>0</c:v>
                </c:pt>
                <c:pt idx="16">
                  <c:v>3</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yVal>
          <c:smooth val="0"/>
          <c:extLst>
            <c:ext xmlns:c16="http://schemas.microsoft.com/office/drawing/2014/chart" uri="{C3380CC4-5D6E-409C-BE32-E72D297353CC}">
              <c16:uniqueId val="{00000002-CEAC-481C-9A8C-D31DC810D350}"/>
            </c:ext>
          </c:extLst>
        </c:ser>
        <c:ser>
          <c:idx val="3"/>
          <c:order val="2"/>
          <c:tx>
            <c:v>Moderate</c:v>
          </c:tx>
          <c:spPr>
            <a:ln w="25400" cap="rnd">
              <a:noFill/>
              <a:round/>
            </a:ln>
            <a:effectLst/>
          </c:spPr>
          <c:marker>
            <c:symbol val="circle"/>
            <c:size val="8"/>
            <c:spPr>
              <a:solidFill>
                <a:srgbClr val="FFC000"/>
              </a:solidFill>
              <a:ln w="9525">
                <a:solidFill>
                  <a:srgbClr val="FFC000"/>
                </a:solidFill>
                <a:prstDash val="solid"/>
              </a:ln>
              <a:effectLst/>
            </c:spPr>
          </c:marker>
          <c:xVal>
            <c:strRef>
              <c:f>'HEAT MAP SUPPORT'!$I$2:$I$31</c:f>
              <c:strCache>
                <c:ptCount val="29"/>
                <c:pt idx="1">
                  <c:v>4</c:v>
                </c:pt>
                <c:pt idx="2">
                  <c:v>3</c:v>
                </c:pt>
                <c:pt idx="5">
                  <c:v>4</c:v>
                </c:pt>
                <c:pt idx="7">
                  <c:v>3</c:v>
                </c:pt>
                <c:pt idx="8">
                  <c:v>3</c:v>
                </c:pt>
                <c:pt idx="10">
                  <c:v>3</c:v>
                </c:pt>
                <c:pt idx="11">
                  <c:v>3</c:v>
                </c:pt>
                <c:pt idx="12">
                  <c:v>3</c:v>
                </c:pt>
                <c:pt idx="14">
                  <c:v>4</c:v>
                </c:pt>
                <c:pt idx="15">
                  <c:v>4</c:v>
                </c:pt>
                <c:pt idx="17">
                  <c:v>4</c:v>
                </c:pt>
                <c:pt idx="18">
                  <c:v>3</c:v>
                </c:pt>
                <c:pt idx="19">
                  <c:v>4</c:v>
                </c:pt>
                <c:pt idx="21">
                  <c:v>3</c:v>
                </c:pt>
                <c:pt idx="23">
                  <c:v>3</c:v>
                </c:pt>
                <c:pt idx="25">
                  <c:v>3</c:v>
                </c:pt>
                <c:pt idx="28">
                  <c:v>3</c:v>
                </c:pt>
              </c:strCache>
            </c:strRef>
          </c:xVal>
          <c:yVal>
            <c:numRef>
              <c:f>'HEAT MAP SUPPORT'!$J$2:$J$31</c:f>
              <c:numCache>
                <c:formatCode>General</c:formatCode>
                <c:ptCount val="30"/>
                <c:pt idx="0">
                  <c:v>0</c:v>
                </c:pt>
                <c:pt idx="1">
                  <c:v>2</c:v>
                </c:pt>
                <c:pt idx="2">
                  <c:v>2</c:v>
                </c:pt>
                <c:pt idx="3">
                  <c:v>0</c:v>
                </c:pt>
                <c:pt idx="4">
                  <c:v>0</c:v>
                </c:pt>
                <c:pt idx="5">
                  <c:v>2</c:v>
                </c:pt>
                <c:pt idx="6">
                  <c:v>0</c:v>
                </c:pt>
                <c:pt idx="7">
                  <c:v>2</c:v>
                </c:pt>
                <c:pt idx="8">
                  <c:v>2</c:v>
                </c:pt>
                <c:pt idx="9">
                  <c:v>0</c:v>
                </c:pt>
                <c:pt idx="10">
                  <c:v>2</c:v>
                </c:pt>
                <c:pt idx="11">
                  <c:v>2</c:v>
                </c:pt>
                <c:pt idx="12">
                  <c:v>2</c:v>
                </c:pt>
                <c:pt idx="13">
                  <c:v>0</c:v>
                </c:pt>
                <c:pt idx="14">
                  <c:v>2</c:v>
                </c:pt>
                <c:pt idx="15">
                  <c:v>2</c:v>
                </c:pt>
                <c:pt idx="16">
                  <c:v>0</c:v>
                </c:pt>
                <c:pt idx="17">
                  <c:v>2</c:v>
                </c:pt>
                <c:pt idx="18">
                  <c:v>2</c:v>
                </c:pt>
                <c:pt idx="19">
                  <c:v>2</c:v>
                </c:pt>
                <c:pt idx="20">
                  <c:v>0</c:v>
                </c:pt>
                <c:pt idx="21">
                  <c:v>2</c:v>
                </c:pt>
                <c:pt idx="22">
                  <c:v>0</c:v>
                </c:pt>
                <c:pt idx="23">
                  <c:v>2</c:v>
                </c:pt>
                <c:pt idx="24">
                  <c:v>0</c:v>
                </c:pt>
                <c:pt idx="25">
                  <c:v>2</c:v>
                </c:pt>
                <c:pt idx="26">
                  <c:v>0</c:v>
                </c:pt>
                <c:pt idx="27">
                  <c:v>0</c:v>
                </c:pt>
                <c:pt idx="28">
                  <c:v>2</c:v>
                </c:pt>
                <c:pt idx="29">
                  <c:v>0</c:v>
                </c:pt>
              </c:numCache>
            </c:numRef>
          </c:yVal>
          <c:smooth val="0"/>
          <c:extLst>
            <c:ext xmlns:c16="http://schemas.microsoft.com/office/drawing/2014/chart" uri="{C3380CC4-5D6E-409C-BE32-E72D297353CC}">
              <c16:uniqueId val="{00000003-CEAC-481C-9A8C-D31DC810D350}"/>
            </c:ext>
          </c:extLst>
        </c:ser>
        <c:ser>
          <c:idx val="4"/>
          <c:order val="3"/>
          <c:tx>
            <c:v>Low</c:v>
          </c:tx>
          <c:spPr>
            <a:ln w="25400" cap="rnd">
              <a:noFill/>
              <a:round/>
            </a:ln>
            <a:effectLst/>
          </c:spPr>
          <c:marker>
            <c:symbol val="circle"/>
            <c:size val="8"/>
            <c:spPr>
              <a:solidFill>
                <a:srgbClr val="70AD47"/>
              </a:solidFill>
              <a:ln w="9525">
                <a:solidFill>
                  <a:srgbClr val="70AD47"/>
                </a:solidFill>
                <a:prstDash val="solid"/>
              </a:ln>
              <a:effectLst/>
            </c:spPr>
          </c:marker>
          <c:xVal>
            <c:strRef>
              <c:f>'HEAT MAP SUPPORT'!$K$2:$K$31</c:f>
              <c:strCache>
                <c:ptCount val="30"/>
                <c:pt idx="20">
                  <c:v>4</c:v>
                </c:pt>
                <c:pt idx="22">
                  <c:v>3</c:v>
                </c:pt>
                <c:pt idx="24">
                  <c:v>4</c:v>
                </c:pt>
                <c:pt idx="26">
                  <c:v>3</c:v>
                </c:pt>
                <c:pt idx="29">
                  <c:v>4</c:v>
                </c:pt>
              </c:strCache>
            </c:strRef>
          </c:xVal>
          <c:yVal>
            <c:numRef>
              <c:f>'HEAT MAP SUPPORT'!$L$2:$L$31</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c:v>
                </c:pt>
                <c:pt idx="21">
                  <c:v>0</c:v>
                </c:pt>
                <c:pt idx="22">
                  <c:v>1</c:v>
                </c:pt>
                <c:pt idx="23">
                  <c:v>0</c:v>
                </c:pt>
                <c:pt idx="24">
                  <c:v>1</c:v>
                </c:pt>
                <c:pt idx="25">
                  <c:v>0</c:v>
                </c:pt>
                <c:pt idx="26">
                  <c:v>1</c:v>
                </c:pt>
                <c:pt idx="27">
                  <c:v>0</c:v>
                </c:pt>
                <c:pt idx="28">
                  <c:v>0</c:v>
                </c:pt>
                <c:pt idx="29">
                  <c:v>1</c:v>
                </c:pt>
              </c:numCache>
            </c:numRef>
          </c:yVal>
          <c:smooth val="0"/>
          <c:extLst>
            <c:ext xmlns:c16="http://schemas.microsoft.com/office/drawing/2014/chart" uri="{C3380CC4-5D6E-409C-BE32-E72D297353CC}">
              <c16:uniqueId val="{00000004-CEAC-481C-9A8C-D31DC810D350}"/>
            </c:ext>
          </c:extLst>
        </c:ser>
        <c:dLbls>
          <c:showLegendKey val="0"/>
          <c:showVal val="0"/>
          <c:showCatName val="0"/>
          <c:showSerName val="0"/>
          <c:showPercent val="0"/>
          <c:showBubbleSize val="0"/>
        </c:dLbls>
        <c:axId val="1137575808"/>
        <c:axId val="1093824160"/>
      </c:scatterChart>
      <c:valAx>
        <c:axId val="1137575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r>
                  <a:rPr lang="en-US"/>
                  <a:t>Residual Impact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1093824160"/>
        <c:crosses val="autoZero"/>
        <c:crossBetween val="midCat"/>
        <c:majorUnit val="1"/>
      </c:valAx>
      <c:valAx>
        <c:axId val="1093824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r>
                  <a:rPr lang="en-US"/>
                  <a:t>Residual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1137575808"/>
        <c:crosses val="autoZero"/>
        <c:crossBetween val="midCat"/>
        <c:majorUnit val="1"/>
      </c:valAx>
      <c:spPr>
        <a:solidFill>
          <a:srgbClr val="F8FAFC"/>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0</xdr:rowOff>
    </xdr:from>
    <xdr:to>
      <xdr:col>12</xdr:col>
      <xdr:colOff>0</xdr:colOff>
      <xdr:row>42</xdr:row>
      <xdr:rowOff>0</xdr:rowOff>
    </xdr:to>
    <xdr:graphicFrame macro="">
      <xdr:nvGraphicFramePr>
        <xdr:cNvPr id="2" name="Residual Risk Scatter">
          <a:extLst>
            <a:ext uri="{FF2B5EF4-FFF2-40B4-BE49-F238E27FC236}">
              <a16:creationId xmlns:a16="http://schemas.microsoft.com/office/drawing/2014/main" id="{CE6E6B32-7EF5-0111-EE59-379E56F4E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1189E2-7675-40BE-9A87-225F13A113AF}" name="RiskRegister" displayName="RiskRegister" ref="A6:V36" totalsRowShown="0" headerRowDxfId="66" dataDxfId="65">
  <autoFilter ref="A6:V36" xr:uid="{9B1189E2-7675-40BE-9A87-225F13A113AF}"/>
  <tableColumns count="22">
    <tableColumn id="1" xr3:uid="{D6B858D7-6334-45A3-AF46-DA238C5CE5A6}" name="Risk ID" dataDxfId="64"/>
    <tableColumn id="2" xr3:uid="{61C5124D-5BE4-40FB-B5D8-EBFC6040688F}" name="Risk Title" dataDxfId="63"/>
    <tableColumn id="3" xr3:uid="{15468891-7B50-4410-9924-A9BB9EFD85F1}" name="Risk Description" dataDxfId="62"/>
    <tableColumn id="4" xr3:uid="{B0F2CC56-8C6E-4D4E-985C-D169A5041544}" name="Category" dataDxfId="61"/>
    <tableColumn id="5" xr3:uid="{5195AC4B-7B1B-4497-8987-39CD064F02A6}" name="AIFMD / Regulatory Reference" dataDxfId="60"/>
    <tableColumn id="6" xr3:uid="{E7310E30-D094-4C01-8176-BEDB6BF42677}" name="Risk Owner" dataDxfId="59"/>
    <tableColumn id="20" xr3:uid="{C2D804BF-6B46-4AC7-9956-927117B0F6F7}" name="Last Review Date" dataDxfId="58">
      <calculatedColumnFormula>DATE(2026,8,11)</calculatedColumnFormula>
    </tableColumn>
    <tableColumn id="21" xr3:uid="{FD45364F-CE37-4009-AC05-D34B3BBD385C}" name="Next Review Date" dataDxfId="57">
      <calculatedColumnFormula>EDATE(RiskRegister[[#This Row],[Last Review Date]],IF(RiskRegister[[#This Row],[Risk Zone]]="Red — Critical",1,IF(RiskRegister[[#This Row],[Risk Zone]]="Amber — High",3,IF(RiskRegister[[#This Row],[Risk Zone]]="Yellow — Moderate",6,12))))</calculatedColumnFormula>
    </tableColumn>
    <tableColumn id="7" xr3:uid="{375D09FB-8D01-4835-AC4D-5ED74468216E}" name="Inherent Likelihood (1-5)" dataDxfId="56"/>
    <tableColumn id="8" xr3:uid="{55B17C73-53FA-4483-9FAC-A15141B042E5}" name="Inherent Impact (1-5)" dataDxfId="55"/>
    <tableColumn id="9" xr3:uid="{CE39F446-231F-430F-A497-455A4CFC4FBC}" name="Inherent Score (L×I)" dataDxfId="54">
      <calculatedColumnFormula>RiskRegister[[#This Row],[Inherent Likelihood (1-5)]]*RiskRegister[[#This Row],[Inherent Impact (1-5)]]</calculatedColumnFormula>
    </tableColumn>
    <tableColumn id="10" xr3:uid="{87B00459-0F14-4CC4-AA63-2C73ED7247C7}" name="Primary Control" dataDxfId="53"/>
    <tableColumn id="11" xr3:uid="{C7B3D2EF-7DD1-4C2E-863C-4F3B543155A4}" name="Control Effectiveness (Strong/Adequate/Weak)" dataDxfId="52"/>
    <tableColumn id="12" xr3:uid="{C7C7760D-C4C0-40CC-942C-87E5DA097DA8}" name="Control Description" dataDxfId="51"/>
    <tableColumn id="22" xr3:uid="{A0A803A8-9C9E-43C9-B6EC-33A1614A6FE6}" name="Evidence Source" dataDxfId="50"/>
    <tableColumn id="13" xr3:uid="{EE90DC76-B320-459F-88AE-87657D1BC4C5}" name="Residual Likelihood (1-5)" dataDxfId="49"/>
    <tableColumn id="14" xr3:uid="{2EC5D5B9-1E63-43D8-8CA4-524743150794}" name="Residual Impact (1-5)" dataDxfId="48"/>
    <tableColumn id="15" xr3:uid="{9BC020FC-3247-4930-8E7C-9F84327957A4}" name="Residual Score (L×I)" dataDxfId="47">
      <calculatedColumnFormula>RiskRegister[[#This Row],[Residual Likelihood (1-5)]]*RiskRegister[[#This Row],[Residual Impact (1-5)]]</calculatedColumnFormula>
    </tableColumn>
    <tableColumn id="16" xr3:uid="{3C050AB6-E47B-4086-B361-D96D7797CCA0}" name="Risk Zone" dataDxfId="46">
      <calculatedColumnFormula>IF(RiskRegister[[#This Row],[Residual Score (L×I)]]&gt;=15,"Red — Critical",IF(RiskRegister[[#This Row],[Residual Score (L×I)]]&gt;=10,"Amber — High",IF(RiskRegister[[#This Row],[Residual Score (L×I)]]&gt;=5,"Yellow — Moderate","Green — Low")))</calculatedColumnFormula>
    </tableColumn>
    <tableColumn id="17" xr3:uid="{680EFC4B-0E73-4DF3-899B-AE2055F20F05}" name="Remediation Priority" dataDxfId="45">
      <calculatedColumnFormula>IF(RiskRegister[[#This Row],[Residual Score (L×I)]]&gt;=20,"Critical",IF(RiskRegister[[#This Row],[Residual Score (L×I)]]&gt;=15,"High",IF(RiskRegister[[#This Row],[Residual Score (L×I)]]&gt;=10,"Medium","Low")))</calculatedColumnFormula>
    </tableColumn>
    <tableColumn id="18" xr3:uid="{2EFBA88D-EB77-417D-AD9A-2D052D3C239D}" name="Notes / Next Steps" dataDxfId="44"/>
    <tableColumn id="19" xr3:uid="{0EF45FCC-3D40-45F6-88C0-BE8F3B6D0541}" name="Residual Adjustment Rationale" dataDxfId="4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636756-6EF6-4D1C-8129-E1CBF512C642}" name="RiskAppetite" displayName="RiskAppetite" ref="A8:D13" totalsRowShown="0" headerRowDxfId="42" dataDxfId="41">
  <autoFilter ref="A8:D13" xr:uid="{28636756-6EF6-4D1C-8129-E1CBF512C642}"/>
  <tableColumns count="4">
    <tableColumn id="1" xr3:uid="{C8F7742A-0199-49D0-ABA2-1BAA05AB65F9}" name="Risk Category" dataDxfId="40"/>
    <tableColumn id="2" xr3:uid="{C10BCDB6-1D44-4F3B-B379-0353A70CB358}" name="Appetite" dataDxfId="39"/>
    <tableColumn id="3" xr3:uid="{45030172-DC0A-4975-B9FD-667121E56B8A}" name="Trigger Threshold" dataDxfId="38"/>
    <tableColumn id="4" xr3:uid="{56F61E18-4AEA-4EE1-95AD-4B236654CCAB}" name="Escalation" dataDxfId="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921DFB-9505-4561-A50C-A5663A6C3B32}" name="ControlTesting" displayName="ControlTesting" ref="A9:G24" totalsRowShown="0" headerRowDxfId="36" dataDxfId="35">
  <autoFilter ref="A9:G24" xr:uid="{99921DFB-9505-4561-A50C-A5663A6C3B32}"/>
  <tableColumns count="7">
    <tableColumn id="1" xr3:uid="{3DE60126-86C6-42CB-9376-B37C324431FD}" name="Control ID" dataDxfId="34"/>
    <tableColumn id="2" xr3:uid="{F87492A0-DFBE-45CE-95AB-56FA57255230}" name="Related Risk" dataDxfId="33"/>
    <tableColumn id="3" xr3:uid="{A64A2D11-F6DD-41E4-B139-A43724E9D5F9}" name="Test Date" dataDxfId="32"/>
    <tableColumn id="4" xr3:uid="{810966CF-884A-413B-9A06-D2EC712328B9}" name="Test Type" dataDxfId="31"/>
    <tableColumn id="5" xr3:uid="{E65541FA-DC1C-4D33-AFA0-6467620C1BE2}" name="Result" dataDxfId="30"/>
    <tableColumn id="6" xr3:uid="{8C10E6AE-A81E-4604-B029-BDB46EAD40C6}" name="Finding" dataDxfId="29"/>
    <tableColumn id="7" xr3:uid="{A4A3B96F-5529-4B5B-AC05-0916D3E9C795}" name="Status" dataDxfId="2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99BE57-5278-4DEF-8CEF-67B2EA8B4613}" name="ActionTracker" displayName="ActionTracker" ref="A9:G21" totalsRowShown="0" headerRowDxfId="27" dataDxfId="26">
  <autoFilter ref="A9:G21" xr:uid="{4A99BE57-5278-4DEF-8CEF-67B2EA8B4613}"/>
  <tableColumns count="7">
    <tableColumn id="1" xr3:uid="{7E935076-0A80-4D9E-89E9-0AC54D0BB217}" name="Action ID" dataDxfId="25"/>
    <tableColumn id="2" xr3:uid="{7840FF62-C906-429C-9C87-BD47B95D6880}" name="Risk ID" dataDxfId="24"/>
    <tableColumn id="3" xr3:uid="{B5EAE7E0-0BE2-443F-9159-809ED57260A6}" name="Action" dataDxfId="23"/>
    <tableColumn id="4" xr3:uid="{DFC30132-8F1B-4E85-8FC2-BBCF65AD36BA}" name="Owner" dataDxfId="22"/>
    <tableColumn id="5" xr3:uid="{82229E02-D2BA-4C01-97BF-F1678981C4D8}" name="Due Date" dataDxfId="21"/>
    <tableColumn id="6" xr3:uid="{745354A0-A318-4818-98FB-518867791B00}" name="Status" dataDxfId="20"/>
    <tableColumn id="7" xr3:uid="{7FA0D9C1-1AAE-4E2E-9EDB-8CEA04619DC1}" name="Evidence" dataDxfId="1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2286B6C-9D56-46B0-A2A7-BF7BADE7FA15}" name="EmergingRisks" displayName="EmergingRisks" ref="A8:C11" totalsRowShown="0" headerRowDxfId="18" dataDxfId="17">
  <autoFilter ref="A8:C11" xr:uid="{A2286B6C-9D56-46B0-A2A7-BF7BADE7FA15}"/>
  <tableColumns count="3">
    <tableColumn id="1" xr3:uid="{87F8CE67-2688-434F-AFB5-383DC33DC92F}" name="Emerging Risk" dataDxfId="16"/>
    <tableColumn id="2" xr3:uid="{F0C6482C-6072-4FAE-BDE6-A5E2793B2D13}" name="Description" dataDxfId="15"/>
    <tableColumn id="3" xr3:uid="{CE9C48A8-7C69-4CD0-A562-7284C11A94EC}" name="Monitoring Approach"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CEDA-4F75-4237-887F-FEFC39FC3746}">
  <sheetPr>
    <tabColor rgb="FF17365D"/>
    <pageSetUpPr fitToPage="1"/>
  </sheetPr>
  <dimension ref="A1:H48"/>
  <sheetViews>
    <sheetView showGridLines="0" topLeftCell="A44" workbookViewId="0">
      <selection activeCell="A48" sqref="A48:H48"/>
    </sheetView>
  </sheetViews>
  <sheetFormatPr defaultRowHeight="14.5" x14ac:dyDescent="0.35"/>
  <cols>
    <col min="1" max="1" width="18.1796875" style="1" customWidth="1"/>
    <col min="2" max="4" width="14.54296875" style="1" customWidth="1"/>
    <col min="5" max="5" width="18.1796875" style="1" customWidth="1"/>
    <col min="6" max="8" width="16.36328125" style="1" customWidth="1"/>
    <col min="9" max="16384" width="8.7265625" style="1"/>
  </cols>
  <sheetData>
    <row r="1" spans="1:8" ht="48" customHeight="1" x14ac:dyDescent="0.35">
      <c r="A1" s="74" t="s">
        <v>258</v>
      </c>
      <c r="B1" s="74"/>
      <c r="C1" s="74"/>
      <c r="D1" s="74"/>
      <c r="E1" s="74"/>
      <c r="F1" s="74"/>
      <c r="G1" s="74"/>
      <c r="H1" s="74"/>
    </row>
    <row r="2" spans="1:8" ht="24" customHeight="1" x14ac:dyDescent="0.35">
      <c r="A2" s="75" t="s">
        <v>416</v>
      </c>
      <c r="B2" s="75"/>
      <c r="C2" s="75"/>
      <c r="D2" s="75"/>
      <c r="E2" s="75"/>
      <c r="F2" s="75"/>
      <c r="G2" s="75"/>
      <c r="H2" s="75"/>
    </row>
    <row r="3" spans="1:8" ht="8" customHeight="1" x14ac:dyDescent="0.35">
      <c r="A3" s="3"/>
      <c r="B3" s="3"/>
      <c r="C3" s="3"/>
      <c r="D3" s="3"/>
      <c r="E3" s="3"/>
      <c r="F3" s="3"/>
      <c r="G3" s="3"/>
      <c r="H3" s="3"/>
    </row>
    <row r="4" spans="1:8" ht="23" customHeight="1" x14ac:dyDescent="0.35">
      <c r="A4" s="76" t="s">
        <v>417</v>
      </c>
      <c r="B4" s="76"/>
      <c r="C4" s="76"/>
      <c r="D4" s="76"/>
      <c r="E4" s="76"/>
      <c r="F4" s="76"/>
      <c r="G4" s="76"/>
      <c r="H4" s="76"/>
    </row>
    <row r="5" spans="1:8" ht="8" customHeight="1" x14ac:dyDescent="0.35">
      <c r="A5" s="3"/>
      <c r="B5" s="3"/>
      <c r="C5" s="3"/>
      <c r="D5" s="3"/>
      <c r="E5" s="3"/>
      <c r="F5" s="3"/>
      <c r="G5" s="3"/>
      <c r="H5" s="3"/>
    </row>
    <row r="6" spans="1:8" ht="48" customHeight="1" x14ac:dyDescent="0.35">
      <c r="A6" s="77">
        <f>COUNTA(RiskRegister[Risk ID])</f>
        <v>30</v>
      </c>
      <c r="B6" s="78"/>
      <c r="C6" s="81">
        <f>COUNTIF(RiskRegister[Risk Zone],"Red — Critical")</f>
        <v>4</v>
      </c>
      <c r="D6" s="82"/>
      <c r="E6" s="85">
        <f>COUNTIF(RiskRegister[Control Effectiveness (Strong/Adequate/Weak)],"Weak")</f>
        <v>5</v>
      </c>
      <c r="F6" s="86"/>
      <c r="G6" s="89">
        <f>MAX(RiskRegister[Residual Score (L×I)])</f>
        <v>20</v>
      </c>
      <c r="H6" s="90"/>
    </row>
    <row r="7" spans="1:8" ht="20" customHeight="1" x14ac:dyDescent="0.35">
      <c r="A7" s="79" t="s">
        <v>259</v>
      </c>
      <c r="B7" s="80"/>
      <c r="C7" s="83" t="s">
        <v>260</v>
      </c>
      <c r="D7" s="84"/>
      <c r="E7" s="87" t="s">
        <v>261</v>
      </c>
      <c r="F7" s="88"/>
      <c r="G7" s="91" t="s">
        <v>262</v>
      </c>
      <c r="H7" s="92"/>
    </row>
    <row r="8" spans="1:8" ht="8" customHeight="1" x14ac:dyDescent="0.35">
      <c r="A8" s="3"/>
      <c r="B8" s="3"/>
      <c r="C8" s="3"/>
      <c r="D8" s="3"/>
      <c r="E8" s="3"/>
      <c r="F8" s="3"/>
      <c r="G8" s="3"/>
      <c r="H8" s="3"/>
    </row>
    <row r="9" spans="1:8" ht="23" customHeight="1" x14ac:dyDescent="0.35">
      <c r="A9" s="69" t="s">
        <v>263</v>
      </c>
      <c r="B9" s="69"/>
      <c r="C9" s="69"/>
      <c r="D9" s="69"/>
      <c r="E9" s="69"/>
      <c r="F9" s="69"/>
      <c r="G9" s="69"/>
      <c r="H9" s="69"/>
    </row>
    <row r="10" spans="1:8" ht="23" customHeight="1" x14ac:dyDescent="0.35">
      <c r="A10" s="73" t="str">
        <f>"This portfolio project presents a "&amp;COUNTA(RiskRegister[Risk ID])&amp;_xlfn._LONGTEXT("-risk universe for a fictional CSSF-authorised Luxembourg AIFM managing listed equities, private credit and CLO exposures. Risks are assessed on a 5×5 likelihood–impact matrix, mapped to accountable owners and key controls, and prioritised by residual exp","osure. The live indicators highlight critical risks and weak controls; detailed methodology, analysis and remediation evidence are provided across the workbook and companion documents.")</f>
        <v>This portfolio project presents a 30-risk universe for a fictional CSSF-authorised Luxembourg AIFM managing listed equities, private credit and CLO exposures. Risks are assessed on a 5×5 likelihood–impact matrix, mapped to accountable owners and key controls, and prioritised by residual exposure. The live indicators highlight critical risks and weak controls; detailed methodology, analysis and remediation evidence are provided across the workbook and companion documents.</v>
      </c>
      <c r="B10" s="73"/>
      <c r="C10" s="73"/>
      <c r="D10" s="73"/>
      <c r="E10" s="73"/>
      <c r="F10" s="73"/>
      <c r="G10" s="73"/>
      <c r="H10" s="73"/>
    </row>
    <row r="11" spans="1:8" ht="23" customHeight="1" x14ac:dyDescent="0.35">
      <c r="A11" s="73"/>
      <c r="B11" s="73"/>
      <c r="C11" s="73"/>
      <c r="D11" s="73"/>
      <c r="E11" s="73"/>
      <c r="F11" s="73"/>
      <c r="G11" s="73"/>
      <c r="H11" s="73"/>
    </row>
    <row r="12" spans="1:8" ht="23" customHeight="1" x14ac:dyDescent="0.35">
      <c r="A12" s="73"/>
      <c r="B12" s="73"/>
      <c r="C12" s="73"/>
      <c r="D12" s="73"/>
      <c r="E12" s="73"/>
      <c r="F12" s="73"/>
      <c r="G12" s="73"/>
      <c r="H12" s="73"/>
    </row>
    <row r="13" spans="1:8" ht="8" customHeight="1" x14ac:dyDescent="0.35">
      <c r="A13" s="3"/>
      <c r="B13" s="3"/>
      <c r="C13" s="3"/>
      <c r="D13" s="3"/>
      <c r="E13" s="3"/>
      <c r="F13" s="3"/>
      <c r="G13" s="3"/>
      <c r="H13" s="3"/>
    </row>
    <row r="14" spans="1:8" ht="23" customHeight="1" x14ac:dyDescent="0.35">
      <c r="A14" s="69" t="s">
        <v>264</v>
      </c>
      <c r="B14" s="69"/>
      <c r="C14" s="69"/>
      <c r="D14" s="69"/>
      <c r="E14" s="69"/>
      <c r="F14" s="69"/>
      <c r="G14" s="69"/>
      <c r="H14" s="69"/>
    </row>
    <row r="15" spans="1:8" ht="94" customHeight="1" x14ac:dyDescent="0.35">
      <c r="A15" s="4" t="s">
        <v>265</v>
      </c>
      <c r="B15" s="71" t="s">
        <v>266</v>
      </c>
      <c r="C15" s="71"/>
      <c r="D15" s="71"/>
      <c r="E15" s="4" t="s">
        <v>267</v>
      </c>
      <c r="F15" s="71" t="s">
        <v>523</v>
      </c>
      <c r="G15" s="71"/>
      <c r="H15" s="71"/>
    </row>
    <row r="16" spans="1:8" ht="29" customHeight="1" x14ac:dyDescent="0.35">
      <c r="A16" s="5" t="s">
        <v>268</v>
      </c>
      <c r="B16" s="64" t="s">
        <v>269</v>
      </c>
      <c r="C16" s="64"/>
      <c r="D16" s="64"/>
      <c r="E16" s="5" t="s">
        <v>270</v>
      </c>
      <c r="F16" s="64" t="s">
        <v>271</v>
      </c>
      <c r="G16" s="64"/>
      <c r="H16" s="64"/>
    </row>
    <row r="17" spans="1:8" ht="29" customHeight="1" x14ac:dyDescent="0.35">
      <c r="A17" s="5" t="s">
        <v>272</v>
      </c>
      <c r="B17" s="64" t="s">
        <v>273</v>
      </c>
      <c r="C17" s="64"/>
      <c r="D17" s="64"/>
      <c r="E17" s="5" t="s">
        <v>274</v>
      </c>
      <c r="F17" s="64" t="s">
        <v>275</v>
      </c>
      <c r="G17" s="64"/>
      <c r="H17" s="64"/>
    </row>
    <row r="18" spans="1:8" ht="29" customHeight="1" x14ac:dyDescent="0.35">
      <c r="A18" s="5" t="s">
        <v>276</v>
      </c>
      <c r="B18" s="64" t="s">
        <v>277</v>
      </c>
      <c r="C18" s="64"/>
      <c r="D18" s="64"/>
      <c r="E18" s="5" t="s">
        <v>278</v>
      </c>
      <c r="F18" s="64" t="s">
        <v>279</v>
      </c>
      <c r="G18" s="64"/>
      <c r="H18" s="64"/>
    </row>
    <row r="19" spans="1:8" ht="29" customHeight="1" x14ac:dyDescent="0.35">
      <c r="A19" s="5" t="s">
        <v>280</v>
      </c>
      <c r="B19" s="64" t="s">
        <v>281</v>
      </c>
      <c r="C19" s="64"/>
      <c r="D19" s="64"/>
      <c r="E19" s="5" t="s">
        <v>282</v>
      </c>
      <c r="F19" s="64" t="s">
        <v>283</v>
      </c>
      <c r="G19" s="64"/>
      <c r="H19" s="64"/>
    </row>
    <row r="20" spans="1:8" ht="29" customHeight="1" x14ac:dyDescent="0.35">
      <c r="A20" s="6" t="s">
        <v>284</v>
      </c>
      <c r="B20" s="72" t="s">
        <v>285</v>
      </c>
      <c r="C20" s="72"/>
      <c r="D20" s="72"/>
      <c r="E20" s="6" t="s">
        <v>286</v>
      </c>
      <c r="F20" s="72" t="s">
        <v>287</v>
      </c>
      <c r="G20" s="72"/>
      <c r="H20" s="72"/>
    </row>
    <row r="21" spans="1:8" ht="8" customHeight="1" x14ac:dyDescent="0.35">
      <c r="A21" s="3"/>
      <c r="B21" s="3"/>
      <c r="C21" s="3"/>
      <c r="D21" s="3"/>
      <c r="E21" s="3"/>
      <c r="F21" s="3"/>
      <c r="G21" s="3"/>
      <c r="H21" s="3"/>
    </row>
    <row r="22" spans="1:8" ht="23" customHeight="1" x14ac:dyDescent="0.35">
      <c r="A22" s="69" t="s">
        <v>288</v>
      </c>
      <c r="B22" s="69"/>
      <c r="C22" s="69"/>
      <c r="D22" s="69"/>
      <c r="E22" s="69"/>
      <c r="F22" s="69"/>
      <c r="G22" s="69"/>
      <c r="H22" s="69"/>
    </row>
    <row r="23" spans="1:8" ht="31" customHeight="1" x14ac:dyDescent="0.35">
      <c r="A23" s="4" t="s">
        <v>289</v>
      </c>
      <c r="B23" s="71" t="s">
        <v>290</v>
      </c>
      <c r="C23" s="71"/>
      <c r="D23" s="71"/>
      <c r="E23" s="4" t="s">
        <v>291</v>
      </c>
      <c r="F23" s="71" t="s">
        <v>292</v>
      </c>
      <c r="G23" s="71"/>
      <c r="H23" s="71"/>
    </row>
    <row r="24" spans="1:8" ht="31" customHeight="1" x14ac:dyDescent="0.35">
      <c r="A24" s="5" t="s">
        <v>293</v>
      </c>
      <c r="B24" s="64" t="s">
        <v>294</v>
      </c>
      <c r="C24" s="64"/>
      <c r="D24" s="64"/>
      <c r="E24" s="5" t="s">
        <v>295</v>
      </c>
      <c r="F24" s="64" t="s">
        <v>296</v>
      </c>
      <c r="G24" s="64"/>
      <c r="H24" s="64"/>
    </row>
    <row r="25" spans="1:8" ht="31" customHeight="1" x14ac:dyDescent="0.35">
      <c r="A25" s="5" t="s">
        <v>297</v>
      </c>
      <c r="B25" s="64" t="s">
        <v>298</v>
      </c>
      <c r="C25" s="64"/>
      <c r="D25" s="64"/>
      <c r="E25" s="5" t="s">
        <v>299</v>
      </c>
      <c r="F25" s="64" t="s">
        <v>300</v>
      </c>
      <c r="G25" s="64"/>
      <c r="H25" s="64"/>
    </row>
    <row r="26" spans="1:8" ht="31" customHeight="1" x14ac:dyDescent="0.35">
      <c r="A26" s="5" t="s">
        <v>301</v>
      </c>
      <c r="B26" s="64" t="s">
        <v>302</v>
      </c>
      <c r="C26" s="64"/>
      <c r="D26" s="64"/>
      <c r="E26" s="5" t="s">
        <v>303</v>
      </c>
      <c r="F26" s="64" t="s">
        <v>304</v>
      </c>
      <c r="G26" s="64"/>
      <c r="H26" s="64"/>
    </row>
    <row r="27" spans="1:8" ht="31" customHeight="1" x14ac:dyDescent="0.35">
      <c r="A27" s="5" t="s">
        <v>305</v>
      </c>
      <c r="B27" s="64" t="s">
        <v>306</v>
      </c>
      <c r="C27" s="64"/>
      <c r="D27" s="64"/>
      <c r="E27" s="5" t="s">
        <v>307</v>
      </c>
      <c r="F27" s="64" t="s">
        <v>308</v>
      </c>
      <c r="G27" s="64"/>
      <c r="H27" s="64"/>
    </row>
    <row r="28" spans="1:8" ht="31" customHeight="1" x14ac:dyDescent="0.35">
      <c r="A28" s="6" t="s">
        <v>309</v>
      </c>
      <c r="B28" s="72" t="s">
        <v>310</v>
      </c>
      <c r="C28" s="72"/>
      <c r="D28" s="72"/>
      <c r="E28" s="6" t="s">
        <v>311</v>
      </c>
      <c r="F28" s="72" t="s">
        <v>312</v>
      </c>
      <c r="G28" s="72"/>
      <c r="H28" s="72"/>
    </row>
    <row r="29" spans="1:8" ht="8" customHeight="1" x14ac:dyDescent="0.35">
      <c r="A29" s="3"/>
      <c r="B29" s="3"/>
      <c r="C29" s="3"/>
      <c r="D29" s="3"/>
      <c r="E29" s="3"/>
      <c r="F29" s="3"/>
      <c r="G29" s="3"/>
      <c r="H29" s="3"/>
    </row>
    <row r="30" spans="1:8" ht="23" customHeight="1" x14ac:dyDescent="0.35">
      <c r="A30" s="69" t="s">
        <v>313</v>
      </c>
      <c r="B30" s="69"/>
      <c r="C30" s="69"/>
      <c r="D30" s="69"/>
      <c r="E30" s="69"/>
      <c r="F30" s="69"/>
      <c r="G30" s="69"/>
      <c r="H30" s="69"/>
    </row>
    <row r="31" spans="1:8" ht="31" customHeight="1" x14ac:dyDescent="0.35">
      <c r="A31" s="70" t="s">
        <v>314</v>
      </c>
      <c r="B31" s="70"/>
      <c r="C31" s="71" t="s">
        <v>454</v>
      </c>
      <c r="D31" s="71"/>
      <c r="E31" s="71"/>
      <c r="F31" s="71"/>
      <c r="G31" s="71"/>
      <c r="H31" s="71"/>
    </row>
    <row r="32" spans="1:8" ht="31" customHeight="1" x14ac:dyDescent="0.35">
      <c r="A32" s="63" t="s">
        <v>315</v>
      </c>
      <c r="B32" s="63"/>
      <c r="C32" s="64" t="s">
        <v>316</v>
      </c>
      <c r="D32" s="64"/>
      <c r="E32" s="64"/>
      <c r="F32" s="64"/>
      <c r="G32" s="64"/>
      <c r="H32" s="64"/>
    </row>
    <row r="33" spans="1:8" ht="31" customHeight="1" x14ac:dyDescent="0.35">
      <c r="A33" s="63" t="s">
        <v>317</v>
      </c>
      <c r="B33" s="63"/>
      <c r="C33" s="64" t="s">
        <v>453</v>
      </c>
      <c r="D33" s="64"/>
      <c r="E33" s="64"/>
      <c r="F33" s="64"/>
      <c r="G33" s="64"/>
      <c r="H33" s="64"/>
    </row>
    <row r="34" spans="1:8" ht="31" customHeight="1" x14ac:dyDescent="0.35">
      <c r="A34" s="63" t="s">
        <v>418</v>
      </c>
      <c r="B34" s="63"/>
      <c r="C34" s="64" t="s">
        <v>419</v>
      </c>
      <c r="D34" s="64"/>
      <c r="E34" s="64"/>
      <c r="F34" s="64"/>
      <c r="G34" s="64"/>
      <c r="H34" s="64"/>
    </row>
    <row r="35" spans="1:8" ht="28" customHeight="1" x14ac:dyDescent="0.35">
      <c r="A35" s="65" t="s">
        <v>420</v>
      </c>
      <c r="B35" s="65"/>
      <c r="C35" s="65"/>
      <c r="D35" s="65"/>
      <c r="E35" s="65"/>
      <c r="F35" s="65"/>
      <c r="G35" s="65"/>
      <c r="H35" s="65"/>
    </row>
    <row r="36" spans="1:8" ht="8" customHeight="1" x14ac:dyDescent="0.35">
      <c r="A36" s="3"/>
      <c r="B36" s="3"/>
      <c r="C36" s="3"/>
      <c r="D36" s="3"/>
      <c r="E36" s="3"/>
      <c r="F36" s="3"/>
      <c r="G36" s="3"/>
      <c r="H36" s="3"/>
    </row>
    <row r="37" spans="1:8" ht="23" customHeight="1" x14ac:dyDescent="0.35">
      <c r="A37" s="69" t="s">
        <v>421</v>
      </c>
      <c r="B37" s="69"/>
      <c r="C37" s="69"/>
      <c r="D37" s="69"/>
      <c r="E37" s="69"/>
      <c r="F37" s="69"/>
      <c r="G37" s="69"/>
      <c r="H37" s="69"/>
    </row>
    <row r="38" spans="1:8" ht="26" customHeight="1" x14ac:dyDescent="0.35">
      <c r="A38" s="66" t="s">
        <v>318</v>
      </c>
      <c r="B38" s="67"/>
      <c r="C38" s="68" t="s">
        <v>524</v>
      </c>
      <c r="D38" s="68"/>
      <c r="E38" s="68"/>
      <c r="F38" s="68"/>
      <c r="G38" s="68"/>
      <c r="H38" s="68"/>
    </row>
    <row r="39" spans="1:8" ht="26" customHeight="1" x14ac:dyDescent="0.35">
      <c r="A39" s="60" t="s">
        <v>525</v>
      </c>
      <c r="B39" s="61"/>
      <c r="C39" s="62" t="s">
        <v>526</v>
      </c>
      <c r="D39" s="62"/>
      <c r="E39" s="62"/>
      <c r="F39" s="62"/>
      <c r="G39" s="62"/>
      <c r="H39" s="62"/>
    </row>
    <row r="40" spans="1:8" ht="26" customHeight="1" x14ac:dyDescent="0.35">
      <c r="A40" s="60" t="s">
        <v>319</v>
      </c>
      <c r="B40" s="61"/>
      <c r="C40" s="62" t="s">
        <v>527</v>
      </c>
      <c r="D40" s="62"/>
      <c r="E40" s="62"/>
      <c r="F40" s="62"/>
      <c r="G40" s="62"/>
      <c r="H40" s="62"/>
    </row>
    <row r="41" spans="1:8" ht="26" customHeight="1" x14ac:dyDescent="0.35">
      <c r="A41" s="60" t="s">
        <v>257</v>
      </c>
      <c r="B41" s="61"/>
      <c r="C41" s="62" t="s">
        <v>422</v>
      </c>
      <c r="D41" s="62"/>
      <c r="E41" s="62"/>
      <c r="F41" s="62"/>
      <c r="G41" s="62"/>
      <c r="H41" s="62"/>
    </row>
    <row r="42" spans="1:8" ht="19.5" customHeight="1" x14ac:dyDescent="0.35">
      <c r="A42" s="60" t="s">
        <v>528</v>
      </c>
      <c r="B42" s="61"/>
      <c r="C42" s="62" t="s">
        <v>529</v>
      </c>
      <c r="D42" s="62"/>
      <c r="E42" s="62"/>
      <c r="F42" s="62"/>
      <c r="G42" s="62"/>
      <c r="H42" s="62"/>
    </row>
    <row r="43" spans="1:8" ht="22" customHeight="1" x14ac:dyDescent="0.35">
      <c r="A43" s="60" t="s">
        <v>530</v>
      </c>
      <c r="B43" s="61"/>
      <c r="C43" s="62" t="s">
        <v>531</v>
      </c>
      <c r="D43" s="62"/>
      <c r="E43" s="62"/>
      <c r="F43" s="62"/>
      <c r="G43" s="62"/>
      <c r="H43" s="62"/>
    </row>
    <row r="44" spans="1:8" x14ac:dyDescent="0.35">
      <c r="A44" s="60" t="s">
        <v>532</v>
      </c>
      <c r="B44" s="61"/>
      <c r="C44" s="62" t="s">
        <v>533</v>
      </c>
      <c r="D44" s="62"/>
      <c r="E44" s="62"/>
      <c r="F44" s="62"/>
      <c r="G44" s="62"/>
      <c r="H44" s="62"/>
    </row>
    <row r="45" spans="1:8" x14ac:dyDescent="0.35">
      <c r="A45" s="60" t="s">
        <v>534</v>
      </c>
      <c r="B45" s="61"/>
      <c r="C45" s="62" t="s">
        <v>535</v>
      </c>
      <c r="D45" s="62"/>
      <c r="E45" s="62"/>
      <c r="F45" s="62"/>
      <c r="G45" s="62"/>
      <c r="H45" s="62"/>
    </row>
    <row r="46" spans="1:8" x14ac:dyDescent="0.35">
      <c r="A46" s="93" t="s">
        <v>320</v>
      </c>
      <c r="B46" s="94"/>
      <c r="C46" s="95" t="s">
        <v>536</v>
      </c>
      <c r="D46" s="95"/>
      <c r="E46" s="95"/>
      <c r="F46" s="95"/>
      <c r="G46" s="95"/>
      <c r="H46" s="95"/>
    </row>
    <row r="47" spans="1:8" x14ac:dyDescent="0.35">
      <c r="A47" s="7"/>
      <c r="B47" s="7"/>
      <c r="C47" s="7"/>
      <c r="D47" s="7"/>
      <c r="E47" s="7"/>
      <c r="F47" s="7"/>
      <c r="G47" s="7"/>
      <c r="H47" s="7"/>
    </row>
    <row r="48" spans="1:8" x14ac:dyDescent="0.35">
      <c r="A48" s="96" t="s">
        <v>731</v>
      </c>
      <c r="B48" s="96"/>
      <c r="C48" s="96"/>
      <c r="D48" s="96"/>
      <c r="E48" s="96"/>
      <c r="F48" s="96"/>
      <c r="G48" s="96"/>
      <c r="H48" s="96"/>
    </row>
  </sheetData>
  <mergeCells count="69">
    <mergeCell ref="A45:B45"/>
    <mergeCell ref="C45:H45"/>
    <mergeCell ref="A46:B46"/>
    <mergeCell ref="C46:H46"/>
    <mergeCell ref="A48:H48"/>
    <mergeCell ref="A42:B42"/>
    <mergeCell ref="C42:H42"/>
    <mergeCell ref="A43:B43"/>
    <mergeCell ref="C43:H43"/>
    <mergeCell ref="A44:B44"/>
    <mergeCell ref="C44:H44"/>
    <mergeCell ref="A1:H1"/>
    <mergeCell ref="A2:H2"/>
    <mergeCell ref="A4:H4"/>
    <mergeCell ref="A6:B6"/>
    <mergeCell ref="A7:B7"/>
    <mergeCell ref="C6:D6"/>
    <mergeCell ref="C7:D7"/>
    <mergeCell ref="E6:F6"/>
    <mergeCell ref="E7:F7"/>
    <mergeCell ref="G6:H6"/>
    <mergeCell ref="G7:H7"/>
    <mergeCell ref="A9:H9"/>
    <mergeCell ref="A10:H12"/>
    <mergeCell ref="A14:H14"/>
    <mergeCell ref="A22:H22"/>
    <mergeCell ref="B19:D19"/>
    <mergeCell ref="F19:H19"/>
    <mergeCell ref="B20:D20"/>
    <mergeCell ref="F20:H20"/>
    <mergeCell ref="B15:D15"/>
    <mergeCell ref="F15:H15"/>
    <mergeCell ref="B16:D16"/>
    <mergeCell ref="F16:H16"/>
    <mergeCell ref="B17:D17"/>
    <mergeCell ref="F17:H17"/>
    <mergeCell ref="B18:D18"/>
    <mergeCell ref="F18:H18"/>
    <mergeCell ref="A30:H30"/>
    <mergeCell ref="B23:D23"/>
    <mergeCell ref="F23:H23"/>
    <mergeCell ref="B24:D24"/>
    <mergeCell ref="F24:H24"/>
    <mergeCell ref="B25:D25"/>
    <mergeCell ref="F25:H25"/>
    <mergeCell ref="B26:D26"/>
    <mergeCell ref="F26:H26"/>
    <mergeCell ref="B27:D27"/>
    <mergeCell ref="F27:H27"/>
    <mergeCell ref="B28:D28"/>
    <mergeCell ref="F28:H28"/>
    <mergeCell ref="A31:B31"/>
    <mergeCell ref="C31:H31"/>
    <mergeCell ref="A32:B32"/>
    <mergeCell ref="C32:H32"/>
    <mergeCell ref="A33:B33"/>
    <mergeCell ref="C33:H33"/>
    <mergeCell ref="A40:B40"/>
    <mergeCell ref="C40:H40"/>
    <mergeCell ref="A41:B41"/>
    <mergeCell ref="C41:H41"/>
    <mergeCell ref="A34:B34"/>
    <mergeCell ref="C34:H34"/>
    <mergeCell ref="A35:H35"/>
    <mergeCell ref="A38:B38"/>
    <mergeCell ref="C38:H38"/>
    <mergeCell ref="A39:B39"/>
    <mergeCell ref="C39:H39"/>
    <mergeCell ref="A37:H37"/>
  </mergeCells>
  <pageMargins left="0.7" right="0.7" top="0.75" bottom="0.75" header="0.3" footer="0.3"/>
  <pageSetup scale="4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3BA20-C3A0-4AC0-9310-73172A05A1EF}">
  <sheetPr>
    <tabColor rgb="FF2F75B5"/>
    <pageSetUpPr fitToPage="1"/>
  </sheetPr>
  <dimension ref="A1:V36"/>
  <sheetViews>
    <sheetView showGridLines="0" topLeftCell="B33" workbookViewId="0">
      <selection activeCell="E35" sqref="E35"/>
    </sheetView>
  </sheetViews>
  <sheetFormatPr defaultRowHeight="14.5" x14ac:dyDescent="0.35"/>
  <cols>
    <col min="1" max="1" width="10" style="1" customWidth="1"/>
    <col min="2" max="2" width="34.54296875" style="1" customWidth="1"/>
    <col min="3" max="3" width="40" style="1" customWidth="1"/>
    <col min="4" max="4" width="18.1796875" style="1" customWidth="1"/>
    <col min="5" max="5" width="32.7265625" style="1" customWidth="1"/>
    <col min="6" max="6" width="19.08984375" style="1" customWidth="1"/>
    <col min="7" max="8" width="15.453125" style="1" customWidth="1"/>
    <col min="9" max="10" width="10.54296875" style="1" customWidth="1"/>
    <col min="11" max="11" width="12.7265625" style="1" customWidth="1"/>
    <col min="12" max="12" width="30.90625" style="1" customWidth="1"/>
    <col min="13" max="13" width="17.26953125" style="1" customWidth="1"/>
    <col min="14" max="14" width="40" style="1" customWidth="1"/>
    <col min="15" max="15" width="31.81640625" style="1" customWidth="1"/>
    <col min="16" max="17" width="10.54296875" style="1" customWidth="1"/>
    <col min="18" max="18" width="12.7265625" style="1" customWidth="1"/>
    <col min="19" max="19" width="17.26953125" style="1" customWidth="1"/>
    <col min="20" max="20" width="15.453125" style="1" customWidth="1"/>
    <col min="21" max="22" width="40" style="1" customWidth="1"/>
    <col min="23" max="16384" width="8.7265625" style="1"/>
  </cols>
  <sheetData>
    <row r="1" spans="1:22" s="2" customFormat="1" ht="23.5" x14ac:dyDescent="0.35">
      <c r="A1" s="97" t="s">
        <v>258</v>
      </c>
      <c r="B1" s="97"/>
      <c r="C1" s="97"/>
      <c r="D1" s="97"/>
      <c r="E1" s="97"/>
      <c r="F1" s="97"/>
      <c r="G1" s="97"/>
      <c r="H1" s="97"/>
      <c r="I1" s="97"/>
      <c r="J1" s="97"/>
      <c r="K1" s="97"/>
      <c r="L1" s="97"/>
      <c r="M1" s="97"/>
      <c r="N1" s="97"/>
      <c r="O1" s="97"/>
      <c r="P1" s="97"/>
      <c r="Q1" s="97"/>
      <c r="R1" s="97"/>
      <c r="S1" s="97"/>
      <c r="T1" s="97"/>
      <c r="U1" s="97"/>
      <c r="V1" s="97"/>
    </row>
    <row r="2" spans="1:22" x14ac:dyDescent="0.35">
      <c r="A2" s="98" t="s">
        <v>423</v>
      </c>
      <c r="B2" s="98"/>
      <c r="C2" s="98"/>
      <c r="D2" s="98"/>
      <c r="E2" s="98"/>
      <c r="F2" s="98"/>
      <c r="G2" s="98"/>
      <c r="H2" s="98"/>
      <c r="I2" s="98"/>
      <c r="J2" s="98"/>
      <c r="K2" s="98"/>
      <c r="L2" s="98"/>
      <c r="M2" s="98"/>
      <c r="N2" s="98"/>
      <c r="O2" s="98"/>
      <c r="P2" s="98"/>
      <c r="Q2" s="98"/>
      <c r="R2" s="98"/>
      <c r="S2" s="98"/>
      <c r="T2" s="98"/>
      <c r="U2" s="98"/>
      <c r="V2" s="98"/>
    </row>
    <row r="3" spans="1:22" x14ac:dyDescent="0.35">
      <c r="A3" s="8"/>
      <c r="B3" s="8"/>
      <c r="C3" s="8"/>
      <c r="D3" s="8"/>
      <c r="E3" s="8"/>
      <c r="F3" s="8"/>
      <c r="G3" s="8"/>
      <c r="H3" s="8"/>
      <c r="I3" s="8"/>
      <c r="J3" s="8"/>
      <c r="K3" s="8"/>
      <c r="L3" s="8"/>
      <c r="M3" s="8"/>
      <c r="N3" s="8"/>
      <c r="O3" s="8"/>
      <c r="P3" s="8"/>
      <c r="Q3" s="8"/>
      <c r="R3" s="8"/>
      <c r="S3" s="7"/>
      <c r="T3" s="7"/>
      <c r="U3" s="7"/>
      <c r="V3" s="7"/>
    </row>
    <row r="4" spans="1:22" x14ac:dyDescent="0.35">
      <c r="A4" s="100" t="str">
        <f>"RISKS ASSESSED  |  "&amp;ROWS(RiskRegister[Risk ID])</f>
        <v>RISKS ASSESSED  |  30</v>
      </c>
      <c r="B4" s="100"/>
      <c r="C4" s="100"/>
      <c r="D4" s="100"/>
      <c r="E4" s="100" t="str">
        <f>"CRITICAL RESIDUAL  |  "&amp;COUNTIF(RiskRegister[Risk Zone],"Red — Critical")</f>
        <v>CRITICAL RESIDUAL  |  4</v>
      </c>
      <c r="F4" s="100"/>
      <c r="G4" s="100"/>
      <c r="H4" s="100"/>
      <c r="I4" s="100" t="str">
        <f>"WEAK CONTROLS  |  "&amp;COUNTIF(RiskRegister[Control Effectiveness (Strong/Adequate/Weak)],"Weak")</f>
        <v>WEAK CONTROLS  |  5</v>
      </c>
      <c r="J4" s="100"/>
      <c r="K4" s="100"/>
      <c r="L4" s="100"/>
      <c r="M4" s="100" t="str">
        <f>"MAX RESIDUAL SCORE  |  "&amp;MAX(RiskRegister[Residual Score (L×I)])&amp;" / 25"</f>
        <v>MAX RESIDUAL SCORE  |  20 / 25</v>
      </c>
      <c r="N4" s="100"/>
      <c r="O4" s="100"/>
      <c r="P4" s="100"/>
      <c r="Q4" s="100"/>
      <c r="R4" s="100"/>
      <c r="S4" s="100"/>
      <c r="T4" s="100"/>
      <c r="U4" s="100"/>
      <c r="V4" s="100"/>
    </row>
    <row r="5" spans="1:22" x14ac:dyDescent="0.35">
      <c r="A5" s="99" t="s">
        <v>522</v>
      </c>
      <c r="B5" s="99"/>
      <c r="C5" s="99"/>
      <c r="D5" s="99"/>
      <c r="E5" s="99"/>
      <c r="F5" s="99"/>
      <c r="G5" s="99"/>
      <c r="H5" s="99"/>
      <c r="I5" s="99"/>
      <c r="J5" s="99"/>
      <c r="K5" s="99"/>
      <c r="L5" s="99"/>
      <c r="M5" s="99"/>
      <c r="N5" s="99"/>
      <c r="O5" s="99"/>
      <c r="P5" s="99"/>
      <c r="Q5" s="99"/>
      <c r="R5" s="99"/>
      <c r="S5" s="99"/>
      <c r="T5" s="99"/>
      <c r="U5" s="99"/>
      <c r="V5" s="99"/>
    </row>
    <row r="6" spans="1:22" ht="36" x14ac:dyDescent="0.35">
      <c r="A6" s="9" t="s">
        <v>0</v>
      </c>
      <c r="B6" s="9" t="s">
        <v>1</v>
      </c>
      <c r="C6" s="9" t="s">
        <v>2</v>
      </c>
      <c r="D6" s="9" t="s">
        <v>3</v>
      </c>
      <c r="E6" s="9" t="s">
        <v>4</v>
      </c>
      <c r="F6" s="9" t="s">
        <v>5</v>
      </c>
      <c r="G6" s="9" t="s">
        <v>489</v>
      </c>
      <c r="H6" s="9" t="s">
        <v>490</v>
      </c>
      <c r="I6" s="9" t="s">
        <v>6</v>
      </c>
      <c r="J6" s="9" t="s">
        <v>7</v>
      </c>
      <c r="K6" s="9" t="s">
        <v>8</v>
      </c>
      <c r="L6" s="9" t="s">
        <v>9</v>
      </c>
      <c r="M6" s="9" t="s">
        <v>10</v>
      </c>
      <c r="N6" s="9" t="s">
        <v>11</v>
      </c>
      <c r="O6" s="9" t="s">
        <v>491</v>
      </c>
      <c r="P6" s="9" t="s">
        <v>12</v>
      </c>
      <c r="Q6" s="9" t="s">
        <v>13</v>
      </c>
      <c r="R6" s="9" t="s">
        <v>14</v>
      </c>
      <c r="S6" s="9" t="s">
        <v>15</v>
      </c>
      <c r="T6" s="9" t="s">
        <v>16</v>
      </c>
      <c r="U6" s="9" t="s">
        <v>17</v>
      </c>
      <c r="V6" s="9" t="s">
        <v>458</v>
      </c>
    </row>
    <row r="7" spans="1:22" ht="60" x14ac:dyDescent="0.35">
      <c r="A7" s="10" t="s">
        <v>18</v>
      </c>
      <c r="B7" s="11" t="s">
        <v>19</v>
      </c>
      <c r="C7" s="11" t="s">
        <v>20</v>
      </c>
      <c r="D7" s="12" t="s">
        <v>21</v>
      </c>
      <c r="E7" s="11" t="s">
        <v>430</v>
      </c>
      <c r="F7" s="12" t="s">
        <v>22</v>
      </c>
      <c r="G7" s="13">
        <f t="shared" ref="G7:G36" si="0">DATE(2026,8,11)</f>
        <v>46245</v>
      </c>
      <c r="H7" s="13">
        <f>EDATE(RiskRegister[[#This Row],[Last Review Date]],IF(RiskRegister[[#This Row],[Risk Zone]]="Red — Critical",1,IF(RiskRegister[[#This Row],[Risk Zone]]="Amber — High",3,IF(RiskRegister[[#This Row],[Risk Zone]]="Yellow — Moderate",6,12))))</f>
        <v>46337</v>
      </c>
      <c r="I7" s="14">
        <v>4</v>
      </c>
      <c r="J7" s="14">
        <v>4</v>
      </c>
      <c r="K7" s="15">
        <f>RiskRegister[[#This Row],[Inherent Likelihood (1-5)]]*RiskRegister[[#This Row],[Inherent Impact (1-5)]]</f>
        <v>16</v>
      </c>
      <c r="L7" s="11" t="s">
        <v>23</v>
      </c>
      <c r="M7" s="10" t="s">
        <v>24</v>
      </c>
      <c r="N7" s="11" t="s">
        <v>25</v>
      </c>
      <c r="O7" s="11" t="s">
        <v>492</v>
      </c>
      <c r="P7" s="14">
        <v>3</v>
      </c>
      <c r="Q7" s="14">
        <v>4</v>
      </c>
      <c r="R7" s="15">
        <f>RiskRegister[[#This Row],[Residual Likelihood (1-5)]]*RiskRegister[[#This Row],[Residual Impact (1-5)]]</f>
        <v>12</v>
      </c>
      <c r="S7" s="16" t="str">
        <f>IF(RiskRegister[[#This Row],[Residual Score (L×I)]]&gt;=15,"Red — Critical",IF(RiskRegister[[#This Row],[Residual Score (L×I)]]&gt;=10,"Amber — High",IF(RiskRegister[[#This Row],[Residual Score (L×I)]]&gt;=5,"Yellow — Moderate","Green — Low")))</f>
        <v>Amber — High</v>
      </c>
      <c r="T7" s="17" t="str">
        <f>IF(RiskRegister[[#This Row],[Residual Score (L×I)]]&gt;=20,"Critical",IF(RiskRegister[[#This Row],[Residual Score (L×I)]]&gt;=15,"High",IF(RiskRegister[[#This Row],[Residual Score (L×I)]]&gt;=10,"Medium","Low")))</f>
        <v>Medium</v>
      </c>
      <c r="U7" s="11" t="s">
        <v>27</v>
      </c>
      <c r="V7" s="11" t="s">
        <v>459</v>
      </c>
    </row>
    <row r="8" spans="1:22" ht="48" x14ac:dyDescent="0.35">
      <c r="A8" s="10" t="s">
        <v>28</v>
      </c>
      <c r="B8" s="11" t="s">
        <v>29</v>
      </c>
      <c r="C8" s="11" t="s">
        <v>30</v>
      </c>
      <c r="D8" s="12" t="s">
        <v>21</v>
      </c>
      <c r="E8" s="11" t="s">
        <v>431</v>
      </c>
      <c r="F8" s="12" t="s">
        <v>31</v>
      </c>
      <c r="G8" s="13">
        <f t="shared" si="0"/>
        <v>46245</v>
      </c>
      <c r="H8" s="13">
        <f>EDATE(RiskRegister[[#This Row],[Last Review Date]],IF(RiskRegister[[#This Row],[Risk Zone]]="Red — Critical",1,IF(RiskRegister[[#This Row],[Risk Zone]]="Amber — High",3,IF(RiskRegister[[#This Row],[Risk Zone]]="Yellow — Moderate",6,12))))</f>
        <v>46429</v>
      </c>
      <c r="I8" s="14">
        <v>3</v>
      </c>
      <c r="J8" s="14">
        <v>4</v>
      </c>
      <c r="K8" s="15">
        <f>RiskRegister[[#This Row],[Inherent Likelihood (1-5)]]*RiskRegister[[#This Row],[Inherent Impact (1-5)]]</f>
        <v>12</v>
      </c>
      <c r="L8" s="11" t="s">
        <v>32</v>
      </c>
      <c r="M8" s="10" t="s">
        <v>24</v>
      </c>
      <c r="N8" s="11" t="s">
        <v>33</v>
      </c>
      <c r="O8" s="11" t="s">
        <v>493</v>
      </c>
      <c r="P8" s="14">
        <v>2</v>
      </c>
      <c r="Q8" s="14">
        <v>4</v>
      </c>
      <c r="R8" s="15">
        <f>RiskRegister[[#This Row],[Residual Likelihood (1-5)]]*RiskRegister[[#This Row],[Residual Impact (1-5)]]</f>
        <v>8</v>
      </c>
      <c r="S8" s="16" t="str">
        <f>IF(RiskRegister[[#This Row],[Residual Score (L×I)]]&gt;=15,"Red — Critical",IF(RiskRegister[[#This Row],[Residual Score (L×I)]]&gt;=10,"Amber — High",IF(RiskRegister[[#This Row],[Residual Score (L×I)]]&gt;=5,"Yellow — Moderate","Green — Low")))</f>
        <v>Yellow — Moderate</v>
      </c>
      <c r="T8" s="17" t="str">
        <f>IF(RiskRegister[[#This Row],[Residual Score (L×I)]]&gt;=20,"Critical",IF(RiskRegister[[#This Row],[Residual Score (L×I)]]&gt;=15,"High",IF(RiskRegister[[#This Row],[Residual Score (L×I)]]&gt;=10,"Medium","Low")))</f>
        <v>Low</v>
      </c>
      <c r="U8" s="11" t="s">
        <v>35</v>
      </c>
      <c r="V8" s="11" t="s">
        <v>460</v>
      </c>
    </row>
    <row r="9" spans="1:22" ht="48" x14ac:dyDescent="0.35">
      <c r="A9" s="10" t="s">
        <v>36</v>
      </c>
      <c r="B9" s="11" t="s">
        <v>37</v>
      </c>
      <c r="C9" s="11" t="s">
        <v>38</v>
      </c>
      <c r="D9" s="12" t="s">
        <v>39</v>
      </c>
      <c r="E9" s="11" t="s">
        <v>40</v>
      </c>
      <c r="F9" s="12" t="s">
        <v>41</v>
      </c>
      <c r="G9" s="13">
        <f t="shared" si="0"/>
        <v>46245</v>
      </c>
      <c r="H9" s="13">
        <f>EDATE(RiskRegister[[#This Row],[Last Review Date]],IF(RiskRegister[[#This Row],[Risk Zone]]="Red — Critical",1,IF(RiskRegister[[#This Row],[Risk Zone]]="Amber — High",3,IF(RiskRegister[[#This Row],[Risk Zone]]="Yellow — Moderate",6,12))))</f>
        <v>46429</v>
      </c>
      <c r="I9" s="14">
        <v>3</v>
      </c>
      <c r="J9" s="14">
        <v>3</v>
      </c>
      <c r="K9" s="15">
        <f>RiskRegister[[#This Row],[Inherent Likelihood (1-5)]]*RiskRegister[[#This Row],[Inherent Impact (1-5)]]</f>
        <v>9</v>
      </c>
      <c r="L9" s="11" t="s">
        <v>42</v>
      </c>
      <c r="M9" s="10" t="s">
        <v>43</v>
      </c>
      <c r="N9" s="11" t="s">
        <v>44</v>
      </c>
      <c r="O9" s="11" t="s">
        <v>494</v>
      </c>
      <c r="P9" s="14">
        <v>2</v>
      </c>
      <c r="Q9" s="14">
        <v>3</v>
      </c>
      <c r="R9" s="15">
        <f>RiskRegister[[#This Row],[Residual Likelihood (1-5)]]*RiskRegister[[#This Row],[Residual Impact (1-5)]]</f>
        <v>6</v>
      </c>
      <c r="S9" s="16" t="str">
        <f>IF(RiskRegister[[#This Row],[Residual Score (L×I)]]&gt;=15,"Red — Critical",IF(RiskRegister[[#This Row],[Residual Score (L×I)]]&gt;=10,"Amber — High",IF(RiskRegister[[#This Row],[Residual Score (L×I)]]&gt;=5,"Yellow — Moderate","Green — Low")))</f>
        <v>Yellow — Moderate</v>
      </c>
      <c r="T9" s="17" t="str">
        <f>IF(RiskRegister[[#This Row],[Residual Score (L×I)]]&gt;=20,"Critical",IF(RiskRegister[[#This Row],[Residual Score (L×I)]]&gt;=15,"High",IF(RiskRegister[[#This Row],[Residual Score (L×I)]]&gt;=10,"Medium","Low")))</f>
        <v>Low</v>
      </c>
      <c r="U9" s="11" t="s">
        <v>45</v>
      </c>
      <c r="V9" s="11" t="s">
        <v>461</v>
      </c>
    </row>
    <row r="10" spans="1:22" ht="48" x14ac:dyDescent="0.35">
      <c r="A10" s="10" t="s">
        <v>46</v>
      </c>
      <c r="B10" s="11" t="s">
        <v>47</v>
      </c>
      <c r="C10" s="11" t="s">
        <v>48</v>
      </c>
      <c r="D10" s="12" t="s">
        <v>49</v>
      </c>
      <c r="E10" s="11" t="s">
        <v>432</v>
      </c>
      <c r="F10" s="12" t="s">
        <v>22</v>
      </c>
      <c r="G10" s="13">
        <f t="shared" si="0"/>
        <v>46245</v>
      </c>
      <c r="H10" s="13">
        <f>EDATE(RiskRegister[[#This Row],[Last Review Date]],IF(RiskRegister[[#This Row],[Risk Zone]]="Red — Critical",1,IF(RiskRegister[[#This Row],[Risk Zone]]="Amber — High",3,IF(RiskRegister[[#This Row],[Risk Zone]]="Yellow — Moderate",6,12))))</f>
        <v>46337</v>
      </c>
      <c r="I10" s="14">
        <v>4</v>
      </c>
      <c r="J10" s="14">
        <v>4</v>
      </c>
      <c r="K10" s="15">
        <f>RiskRegister[[#This Row],[Inherent Likelihood (1-5)]]*RiskRegister[[#This Row],[Inherent Impact (1-5)]]</f>
        <v>16</v>
      </c>
      <c r="L10" s="11" t="s">
        <v>50</v>
      </c>
      <c r="M10" s="10" t="s">
        <v>24</v>
      </c>
      <c r="N10" s="11" t="s">
        <v>51</v>
      </c>
      <c r="O10" s="11" t="s">
        <v>495</v>
      </c>
      <c r="P10" s="14">
        <v>3</v>
      </c>
      <c r="Q10" s="14">
        <v>4</v>
      </c>
      <c r="R10" s="15">
        <f>RiskRegister[[#This Row],[Residual Likelihood (1-5)]]*RiskRegister[[#This Row],[Residual Impact (1-5)]]</f>
        <v>12</v>
      </c>
      <c r="S10" s="16" t="str">
        <f>IF(RiskRegister[[#This Row],[Residual Score (L×I)]]&gt;=15,"Red — Critical",IF(RiskRegister[[#This Row],[Residual Score (L×I)]]&gt;=10,"Amber — High",IF(RiskRegister[[#This Row],[Residual Score (L×I)]]&gt;=5,"Yellow — Moderate","Green — Low")))</f>
        <v>Amber — High</v>
      </c>
      <c r="T10" s="17" t="str">
        <f>IF(RiskRegister[[#This Row],[Residual Score (L×I)]]&gt;=20,"Critical",IF(RiskRegister[[#This Row],[Residual Score (L×I)]]&gt;=15,"High",IF(RiskRegister[[#This Row],[Residual Score (L×I)]]&gt;=10,"Medium","Low")))</f>
        <v>Medium</v>
      </c>
      <c r="U10" s="11" t="s">
        <v>52</v>
      </c>
      <c r="V10" s="11" t="s">
        <v>462</v>
      </c>
    </row>
    <row r="11" spans="1:22" ht="48" x14ac:dyDescent="0.35">
      <c r="A11" s="10" t="s">
        <v>53</v>
      </c>
      <c r="B11" s="11" t="s">
        <v>54</v>
      </c>
      <c r="C11" s="11" t="s">
        <v>55</v>
      </c>
      <c r="D11" s="12" t="s">
        <v>56</v>
      </c>
      <c r="E11" s="11" t="s">
        <v>57</v>
      </c>
      <c r="F11" s="12" t="s">
        <v>58</v>
      </c>
      <c r="G11" s="13">
        <f t="shared" si="0"/>
        <v>46245</v>
      </c>
      <c r="H11" s="13">
        <f>EDATE(RiskRegister[[#This Row],[Last Review Date]],IF(RiskRegister[[#This Row],[Risk Zone]]="Red — Critical",1,IF(RiskRegister[[#This Row],[Risk Zone]]="Amber — High",3,IF(RiskRegister[[#This Row],[Risk Zone]]="Yellow — Moderate",6,12))))</f>
        <v>46276</v>
      </c>
      <c r="I11" s="14">
        <v>4</v>
      </c>
      <c r="J11" s="14">
        <v>5</v>
      </c>
      <c r="K11" s="15">
        <f>RiskRegister[[#This Row],[Inherent Likelihood (1-5)]]*RiskRegister[[#This Row],[Inherent Impact (1-5)]]</f>
        <v>20</v>
      </c>
      <c r="L11" s="11" t="s">
        <v>59</v>
      </c>
      <c r="M11" s="10" t="s">
        <v>24</v>
      </c>
      <c r="N11" s="11" t="s">
        <v>60</v>
      </c>
      <c r="O11" s="11" t="s">
        <v>496</v>
      </c>
      <c r="P11" s="14">
        <v>3</v>
      </c>
      <c r="Q11" s="14">
        <v>5</v>
      </c>
      <c r="R11" s="15">
        <f>RiskRegister[[#This Row],[Residual Likelihood (1-5)]]*RiskRegister[[#This Row],[Residual Impact (1-5)]]</f>
        <v>15</v>
      </c>
      <c r="S11" s="16" t="str">
        <f>IF(RiskRegister[[#This Row],[Residual Score (L×I)]]&gt;=15,"Red — Critical",IF(RiskRegister[[#This Row],[Residual Score (L×I)]]&gt;=10,"Amber — High",IF(RiskRegister[[#This Row],[Residual Score (L×I)]]&gt;=5,"Yellow — Moderate","Green — Low")))</f>
        <v>Red — Critical</v>
      </c>
      <c r="T11" s="17" t="str">
        <f>IF(RiskRegister[[#This Row],[Residual Score (L×I)]]&gt;=20,"Critical",IF(RiskRegister[[#This Row],[Residual Score (L×I)]]&gt;=15,"High",IF(RiskRegister[[#This Row],[Residual Score (L×I)]]&gt;=10,"Medium","Low")))</f>
        <v>High</v>
      </c>
      <c r="U11" s="11" t="s">
        <v>62</v>
      </c>
      <c r="V11" s="11" t="s">
        <v>463</v>
      </c>
    </row>
    <row r="12" spans="1:22" ht="48" x14ac:dyDescent="0.35">
      <c r="A12" s="10" t="s">
        <v>63</v>
      </c>
      <c r="B12" s="11" t="s">
        <v>64</v>
      </c>
      <c r="C12" s="11" t="s">
        <v>65</v>
      </c>
      <c r="D12" s="12" t="s">
        <v>56</v>
      </c>
      <c r="E12" s="11" t="s">
        <v>433</v>
      </c>
      <c r="F12" s="12" t="s">
        <v>31</v>
      </c>
      <c r="G12" s="13">
        <f t="shared" si="0"/>
        <v>46245</v>
      </c>
      <c r="H12" s="13">
        <f>EDATE(RiskRegister[[#This Row],[Last Review Date]],IF(RiskRegister[[#This Row],[Risk Zone]]="Red — Critical",1,IF(RiskRegister[[#This Row],[Risk Zone]]="Amber — High",3,IF(RiskRegister[[#This Row],[Risk Zone]]="Yellow — Moderate",6,12))))</f>
        <v>46429</v>
      </c>
      <c r="I12" s="14">
        <v>3</v>
      </c>
      <c r="J12" s="14">
        <v>4</v>
      </c>
      <c r="K12" s="15">
        <f>RiskRegister[[#This Row],[Inherent Likelihood (1-5)]]*RiskRegister[[#This Row],[Inherent Impact (1-5)]]</f>
        <v>12</v>
      </c>
      <c r="L12" s="11" t="s">
        <v>66</v>
      </c>
      <c r="M12" s="10" t="s">
        <v>24</v>
      </c>
      <c r="N12" s="11" t="s">
        <v>67</v>
      </c>
      <c r="O12" s="11" t="s">
        <v>497</v>
      </c>
      <c r="P12" s="14">
        <v>2</v>
      </c>
      <c r="Q12" s="14">
        <v>4</v>
      </c>
      <c r="R12" s="15">
        <f>RiskRegister[[#This Row],[Residual Likelihood (1-5)]]*RiskRegister[[#This Row],[Residual Impact (1-5)]]</f>
        <v>8</v>
      </c>
      <c r="S12" s="16" t="str">
        <f>IF(RiskRegister[[#This Row],[Residual Score (L×I)]]&gt;=15,"Red — Critical",IF(RiskRegister[[#This Row],[Residual Score (L×I)]]&gt;=10,"Amber — High",IF(RiskRegister[[#This Row],[Residual Score (L×I)]]&gt;=5,"Yellow — Moderate","Green — Low")))</f>
        <v>Yellow — Moderate</v>
      </c>
      <c r="T12" s="17" t="str">
        <f>IF(RiskRegister[[#This Row],[Residual Score (L×I)]]&gt;=20,"Critical",IF(RiskRegister[[#This Row],[Residual Score (L×I)]]&gt;=15,"High",IF(RiskRegister[[#This Row],[Residual Score (L×I)]]&gt;=10,"Medium","Low")))</f>
        <v>Low</v>
      </c>
      <c r="U12" s="11" t="s">
        <v>68</v>
      </c>
      <c r="V12" s="11" t="s">
        <v>464</v>
      </c>
    </row>
    <row r="13" spans="1:22" ht="84" x14ac:dyDescent="0.35">
      <c r="A13" s="10" t="s">
        <v>69</v>
      </c>
      <c r="B13" s="11" t="s">
        <v>70</v>
      </c>
      <c r="C13" s="11" t="s">
        <v>71</v>
      </c>
      <c r="D13" s="12" t="s">
        <v>72</v>
      </c>
      <c r="E13" s="11" t="s">
        <v>455</v>
      </c>
      <c r="F13" s="12" t="s">
        <v>73</v>
      </c>
      <c r="G13" s="13">
        <f t="shared" si="0"/>
        <v>46245</v>
      </c>
      <c r="H13" s="13">
        <f>EDATE(RiskRegister[[#This Row],[Last Review Date]],IF(RiskRegister[[#This Row],[Risk Zone]]="Red — Critical",1,IF(RiskRegister[[#This Row],[Risk Zone]]="Amber — High",3,IF(RiskRegister[[#This Row],[Risk Zone]]="Yellow — Moderate",6,12))))</f>
        <v>46276</v>
      </c>
      <c r="I13" s="14">
        <v>5</v>
      </c>
      <c r="J13" s="14">
        <v>5</v>
      </c>
      <c r="K13" s="15">
        <f>RiskRegister[[#This Row],[Inherent Likelihood (1-5)]]*RiskRegister[[#This Row],[Inherent Impact (1-5)]]</f>
        <v>25</v>
      </c>
      <c r="L13" s="11" t="s">
        <v>74</v>
      </c>
      <c r="M13" s="10" t="s">
        <v>75</v>
      </c>
      <c r="N13" s="11" t="s">
        <v>76</v>
      </c>
      <c r="O13" s="11" t="s">
        <v>498</v>
      </c>
      <c r="P13" s="14">
        <v>4</v>
      </c>
      <c r="Q13" s="14">
        <v>5</v>
      </c>
      <c r="R13" s="15">
        <f>RiskRegister[[#This Row],[Residual Likelihood (1-5)]]*RiskRegister[[#This Row],[Residual Impact (1-5)]]</f>
        <v>20</v>
      </c>
      <c r="S13" s="16" t="str">
        <f>IF(RiskRegister[[#This Row],[Residual Score (L×I)]]&gt;=15,"Red — Critical",IF(RiskRegister[[#This Row],[Residual Score (L×I)]]&gt;=10,"Amber — High",IF(RiskRegister[[#This Row],[Residual Score (L×I)]]&gt;=5,"Yellow — Moderate","Green — Low")))</f>
        <v>Red — Critical</v>
      </c>
      <c r="T13" s="17" t="str">
        <f>IF(RiskRegister[[#This Row],[Residual Score (L×I)]]&gt;=20,"Critical",IF(RiskRegister[[#This Row],[Residual Score (L×I)]]&gt;=15,"High",IF(RiskRegister[[#This Row],[Residual Score (L×I)]]&gt;=10,"Medium","Low")))</f>
        <v>Critical</v>
      </c>
      <c r="U13" s="11" t="s">
        <v>77</v>
      </c>
      <c r="V13" s="11" t="s">
        <v>465</v>
      </c>
    </row>
    <row r="14" spans="1:22" ht="72" x14ac:dyDescent="0.35">
      <c r="A14" s="10" t="s">
        <v>78</v>
      </c>
      <c r="B14" s="11" t="s">
        <v>79</v>
      </c>
      <c r="C14" s="11" t="s">
        <v>80</v>
      </c>
      <c r="D14" s="12" t="s">
        <v>72</v>
      </c>
      <c r="E14" s="11" t="s">
        <v>455</v>
      </c>
      <c r="F14" s="12" t="s">
        <v>81</v>
      </c>
      <c r="G14" s="13">
        <f t="shared" si="0"/>
        <v>46245</v>
      </c>
      <c r="H14" s="13">
        <f>EDATE(RiskRegister[[#This Row],[Last Review Date]],IF(RiskRegister[[#This Row],[Risk Zone]]="Red — Critical",1,IF(RiskRegister[[#This Row],[Risk Zone]]="Amber — High",3,IF(RiskRegister[[#This Row],[Risk Zone]]="Yellow — Moderate",6,12))))</f>
        <v>46429</v>
      </c>
      <c r="I14" s="14">
        <v>3</v>
      </c>
      <c r="J14" s="14">
        <v>4</v>
      </c>
      <c r="K14" s="15">
        <f>RiskRegister[[#This Row],[Inherent Likelihood (1-5)]]*RiskRegister[[#This Row],[Inherent Impact (1-5)]]</f>
        <v>12</v>
      </c>
      <c r="L14" s="11" t="s">
        <v>82</v>
      </c>
      <c r="M14" s="10" t="s">
        <v>24</v>
      </c>
      <c r="N14" s="11" t="s">
        <v>83</v>
      </c>
      <c r="O14" s="11" t="s">
        <v>499</v>
      </c>
      <c r="P14" s="14">
        <v>2</v>
      </c>
      <c r="Q14" s="14">
        <v>3</v>
      </c>
      <c r="R14" s="15">
        <f>RiskRegister[[#This Row],[Residual Likelihood (1-5)]]*RiskRegister[[#This Row],[Residual Impact (1-5)]]</f>
        <v>6</v>
      </c>
      <c r="S14" s="16" t="str">
        <f>IF(RiskRegister[[#This Row],[Residual Score (L×I)]]&gt;=15,"Red — Critical",IF(RiskRegister[[#This Row],[Residual Score (L×I)]]&gt;=10,"Amber — High",IF(RiskRegister[[#This Row],[Residual Score (L×I)]]&gt;=5,"Yellow — Moderate","Green — Low")))</f>
        <v>Yellow — Moderate</v>
      </c>
      <c r="T14" s="17" t="str">
        <f>IF(RiskRegister[[#This Row],[Residual Score (L×I)]]&gt;=20,"Critical",IF(RiskRegister[[#This Row],[Residual Score (L×I)]]&gt;=15,"High",IF(RiskRegister[[#This Row],[Residual Score (L×I)]]&gt;=10,"Medium","Low")))</f>
        <v>Low</v>
      </c>
      <c r="U14" s="11" t="s">
        <v>84</v>
      </c>
      <c r="V14" s="11" t="s">
        <v>466</v>
      </c>
    </row>
    <row r="15" spans="1:22" ht="48" x14ac:dyDescent="0.35">
      <c r="A15" s="10" t="s">
        <v>85</v>
      </c>
      <c r="B15" s="11" t="s">
        <v>86</v>
      </c>
      <c r="C15" s="11" t="s">
        <v>87</v>
      </c>
      <c r="D15" s="12" t="s">
        <v>88</v>
      </c>
      <c r="E15" s="11" t="s">
        <v>89</v>
      </c>
      <c r="F15" s="12" t="s">
        <v>22</v>
      </c>
      <c r="G15" s="13">
        <f t="shared" si="0"/>
        <v>46245</v>
      </c>
      <c r="H15" s="13">
        <f>EDATE(RiskRegister[[#This Row],[Last Review Date]],IF(RiskRegister[[#This Row],[Risk Zone]]="Red — Critical",1,IF(RiskRegister[[#This Row],[Risk Zone]]="Amber — High",3,IF(RiskRegister[[#This Row],[Risk Zone]]="Yellow — Moderate",6,12))))</f>
        <v>46429</v>
      </c>
      <c r="I15" s="14">
        <v>3</v>
      </c>
      <c r="J15" s="14">
        <v>3</v>
      </c>
      <c r="K15" s="15">
        <f>RiskRegister[[#This Row],[Inherent Likelihood (1-5)]]*RiskRegister[[#This Row],[Inherent Impact (1-5)]]</f>
        <v>9</v>
      </c>
      <c r="L15" s="11" t="s">
        <v>90</v>
      </c>
      <c r="M15" s="10" t="s">
        <v>24</v>
      </c>
      <c r="N15" s="11" t="s">
        <v>91</v>
      </c>
      <c r="O15" s="11" t="s">
        <v>500</v>
      </c>
      <c r="P15" s="14">
        <v>2</v>
      </c>
      <c r="Q15" s="14">
        <v>3</v>
      </c>
      <c r="R15" s="15">
        <f>RiskRegister[[#This Row],[Residual Likelihood (1-5)]]*RiskRegister[[#This Row],[Residual Impact (1-5)]]</f>
        <v>6</v>
      </c>
      <c r="S15" s="16" t="str">
        <f>IF(RiskRegister[[#This Row],[Residual Score (L×I)]]&gt;=15,"Red — Critical",IF(RiskRegister[[#This Row],[Residual Score (L×I)]]&gt;=10,"Amber — High",IF(RiskRegister[[#This Row],[Residual Score (L×I)]]&gt;=5,"Yellow — Moderate","Green — Low")))</f>
        <v>Yellow — Moderate</v>
      </c>
      <c r="T15" s="17" t="str">
        <f>IF(RiskRegister[[#This Row],[Residual Score (L×I)]]&gt;=20,"Critical",IF(RiskRegister[[#This Row],[Residual Score (L×I)]]&gt;=15,"High",IF(RiskRegister[[#This Row],[Residual Score (L×I)]]&gt;=10,"Medium","Low")))</f>
        <v>Low</v>
      </c>
      <c r="U15" s="11" t="s">
        <v>92</v>
      </c>
      <c r="V15" s="11" t="s">
        <v>467</v>
      </c>
    </row>
    <row r="16" spans="1:22" ht="48" x14ac:dyDescent="0.35">
      <c r="A16" s="10" t="s">
        <v>93</v>
      </c>
      <c r="B16" s="11" t="s">
        <v>94</v>
      </c>
      <c r="C16" s="11" t="s">
        <v>95</v>
      </c>
      <c r="D16" s="12" t="s">
        <v>96</v>
      </c>
      <c r="E16" s="11" t="s">
        <v>434</v>
      </c>
      <c r="F16" s="12" t="s">
        <v>97</v>
      </c>
      <c r="G16" s="13">
        <f t="shared" si="0"/>
        <v>46245</v>
      </c>
      <c r="H16" s="13">
        <f>EDATE(RiskRegister[[#This Row],[Last Review Date]],IF(RiskRegister[[#This Row],[Risk Zone]]="Red — Critical",1,IF(RiskRegister[[#This Row],[Risk Zone]]="Amber — High",3,IF(RiskRegister[[#This Row],[Risk Zone]]="Yellow — Moderate",6,12))))</f>
        <v>46276</v>
      </c>
      <c r="I16" s="14">
        <v>4</v>
      </c>
      <c r="J16" s="14">
        <v>5</v>
      </c>
      <c r="K16" s="15">
        <f>RiskRegister[[#This Row],[Inherent Likelihood (1-5)]]*RiskRegister[[#This Row],[Inherent Impact (1-5)]]</f>
        <v>20</v>
      </c>
      <c r="L16" s="11" t="s">
        <v>98</v>
      </c>
      <c r="M16" s="10" t="s">
        <v>75</v>
      </c>
      <c r="N16" s="11" t="s">
        <v>99</v>
      </c>
      <c r="O16" s="11" t="s">
        <v>501</v>
      </c>
      <c r="P16" s="14">
        <v>4</v>
      </c>
      <c r="Q16" s="14">
        <v>5</v>
      </c>
      <c r="R16" s="15">
        <f>RiskRegister[[#This Row],[Residual Likelihood (1-5)]]*RiskRegister[[#This Row],[Residual Impact (1-5)]]</f>
        <v>20</v>
      </c>
      <c r="S16" s="16" t="str">
        <f>IF(RiskRegister[[#This Row],[Residual Score (L×I)]]&gt;=15,"Red — Critical",IF(RiskRegister[[#This Row],[Residual Score (L×I)]]&gt;=10,"Amber — High",IF(RiskRegister[[#This Row],[Residual Score (L×I)]]&gt;=5,"Yellow — Moderate","Green — Low")))</f>
        <v>Red — Critical</v>
      </c>
      <c r="T16" s="17" t="str">
        <f>IF(RiskRegister[[#This Row],[Residual Score (L×I)]]&gt;=20,"Critical",IF(RiskRegister[[#This Row],[Residual Score (L×I)]]&gt;=15,"High",IF(RiskRegister[[#This Row],[Residual Score (L×I)]]&gt;=10,"Medium","Low")))</f>
        <v>Critical</v>
      </c>
      <c r="U16" s="11" t="s">
        <v>100</v>
      </c>
      <c r="V16" s="11" t="s">
        <v>468</v>
      </c>
    </row>
    <row r="17" spans="1:22" ht="72" x14ac:dyDescent="0.35">
      <c r="A17" s="10" t="s">
        <v>101</v>
      </c>
      <c r="B17" s="11" t="s">
        <v>102</v>
      </c>
      <c r="C17" s="11" t="s">
        <v>103</v>
      </c>
      <c r="D17" s="12" t="s">
        <v>104</v>
      </c>
      <c r="E17" s="11" t="s">
        <v>434</v>
      </c>
      <c r="F17" s="12" t="s">
        <v>105</v>
      </c>
      <c r="G17" s="13">
        <f t="shared" si="0"/>
        <v>46245</v>
      </c>
      <c r="H17" s="13">
        <f>EDATE(RiskRegister[[#This Row],[Last Review Date]],IF(RiskRegister[[#This Row],[Risk Zone]]="Red — Critical",1,IF(RiskRegister[[#This Row],[Risk Zone]]="Amber — High",3,IF(RiskRegister[[#This Row],[Risk Zone]]="Yellow — Moderate",6,12))))</f>
        <v>46429</v>
      </c>
      <c r="I17" s="14">
        <v>3</v>
      </c>
      <c r="J17" s="14">
        <v>4</v>
      </c>
      <c r="K17" s="15">
        <f>RiskRegister[[#This Row],[Inherent Likelihood (1-5)]]*RiskRegister[[#This Row],[Inherent Impact (1-5)]]</f>
        <v>12</v>
      </c>
      <c r="L17" s="11" t="s">
        <v>106</v>
      </c>
      <c r="M17" s="10" t="s">
        <v>24</v>
      </c>
      <c r="N17" s="11" t="s">
        <v>107</v>
      </c>
      <c r="O17" s="11" t="s">
        <v>502</v>
      </c>
      <c r="P17" s="14">
        <v>2</v>
      </c>
      <c r="Q17" s="14">
        <v>3</v>
      </c>
      <c r="R17" s="15">
        <f>RiskRegister[[#This Row],[Residual Likelihood (1-5)]]*RiskRegister[[#This Row],[Residual Impact (1-5)]]</f>
        <v>6</v>
      </c>
      <c r="S17" s="16" t="str">
        <f>IF(RiskRegister[[#This Row],[Residual Score (L×I)]]&gt;=15,"Red — Critical",IF(RiskRegister[[#This Row],[Residual Score (L×I)]]&gt;=10,"Amber — High",IF(RiskRegister[[#This Row],[Residual Score (L×I)]]&gt;=5,"Yellow — Moderate","Green — Low")))</f>
        <v>Yellow — Moderate</v>
      </c>
      <c r="T17" s="17" t="str">
        <f>IF(RiskRegister[[#This Row],[Residual Score (L×I)]]&gt;=20,"Critical",IF(RiskRegister[[#This Row],[Residual Score (L×I)]]&gt;=15,"High",IF(RiskRegister[[#This Row],[Residual Score (L×I)]]&gt;=10,"Medium","Low")))</f>
        <v>Low</v>
      </c>
      <c r="U17" s="11" t="s">
        <v>108</v>
      </c>
      <c r="V17" s="11" t="s">
        <v>469</v>
      </c>
    </row>
    <row r="18" spans="1:22" ht="72" x14ac:dyDescent="0.35">
      <c r="A18" s="10" t="s">
        <v>109</v>
      </c>
      <c r="B18" s="11" t="s">
        <v>110</v>
      </c>
      <c r="C18" s="11" t="s">
        <v>111</v>
      </c>
      <c r="D18" s="12" t="s">
        <v>112</v>
      </c>
      <c r="E18" s="11" t="s">
        <v>448</v>
      </c>
      <c r="F18" s="12" t="s">
        <v>31</v>
      </c>
      <c r="G18" s="13">
        <f t="shared" si="0"/>
        <v>46245</v>
      </c>
      <c r="H18" s="13">
        <f>EDATE(RiskRegister[[#This Row],[Last Review Date]],IF(RiskRegister[[#This Row],[Risk Zone]]="Red — Critical",1,IF(RiskRegister[[#This Row],[Risk Zone]]="Amber — High",3,IF(RiskRegister[[#This Row],[Risk Zone]]="Yellow — Moderate",6,12))))</f>
        <v>46429</v>
      </c>
      <c r="I18" s="14">
        <v>3</v>
      </c>
      <c r="J18" s="14">
        <v>4</v>
      </c>
      <c r="K18" s="15">
        <f>RiskRegister[[#This Row],[Inherent Likelihood (1-5)]]*RiskRegister[[#This Row],[Inherent Impact (1-5)]]</f>
        <v>12</v>
      </c>
      <c r="L18" s="11" t="s">
        <v>113</v>
      </c>
      <c r="M18" s="10" t="s">
        <v>24</v>
      </c>
      <c r="N18" s="11" t="s">
        <v>114</v>
      </c>
      <c r="O18" s="11" t="s">
        <v>503</v>
      </c>
      <c r="P18" s="14">
        <v>2</v>
      </c>
      <c r="Q18" s="14">
        <v>3</v>
      </c>
      <c r="R18" s="15">
        <f>RiskRegister[[#This Row],[Residual Likelihood (1-5)]]*RiskRegister[[#This Row],[Residual Impact (1-5)]]</f>
        <v>6</v>
      </c>
      <c r="S18" s="16" t="str">
        <f>IF(RiskRegister[[#This Row],[Residual Score (L×I)]]&gt;=15,"Red — Critical",IF(RiskRegister[[#This Row],[Residual Score (L×I)]]&gt;=10,"Amber — High",IF(RiskRegister[[#This Row],[Residual Score (L×I)]]&gt;=5,"Yellow — Moderate","Green — Low")))</f>
        <v>Yellow — Moderate</v>
      </c>
      <c r="T18" s="17" t="str">
        <f>IF(RiskRegister[[#This Row],[Residual Score (L×I)]]&gt;=20,"Critical",IF(RiskRegister[[#This Row],[Residual Score (L×I)]]&gt;=15,"High",IF(RiskRegister[[#This Row],[Residual Score (L×I)]]&gt;=10,"Medium","Low")))</f>
        <v>Low</v>
      </c>
      <c r="U18" s="11" t="s">
        <v>115</v>
      </c>
      <c r="V18" s="11" t="s">
        <v>470</v>
      </c>
    </row>
    <row r="19" spans="1:22" ht="72" x14ac:dyDescent="0.35">
      <c r="A19" s="10" t="s">
        <v>116</v>
      </c>
      <c r="B19" s="11" t="s">
        <v>117</v>
      </c>
      <c r="C19" s="11" t="s">
        <v>118</v>
      </c>
      <c r="D19" s="12" t="s">
        <v>119</v>
      </c>
      <c r="E19" s="11" t="s">
        <v>449</v>
      </c>
      <c r="F19" s="12" t="s">
        <v>120</v>
      </c>
      <c r="G19" s="13">
        <f t="shared" si="0"/>
        <v>46245</v>
      </c>
      <c r="H19" s="13">
        <f>EDATE(RiskRegister[[#This Row],[Last Review Date]],IF(RiskRegister[[#This Row],[Risk Zone]]="Red — Critical",1,IF(RiskRegister[[#This Row],[Risk Zone]]="Amber — High",3,IF(RiskRegister[[#This Row],[Risk Zone]]="Yellow — Moderate",6,12))))</f>
        <v>46429</v>
      </c>
      <c r="I19" s="14">
        <v>3</v>
      </c>
      <c r="J19" s="14">
        <v>4</v>
      </c>
      <c r="K19" s="15">
        <f>RiskRegister[[#This Row],[Inherent Likelihood (1-5)]]*RiskRegister[[#This Row],[Inherent Impact (1-5)]]</f>
        <v>12</v>
      </c>
      <c r="L19" s="11" t="s">
        <v>121</v>
      </c>
      <c r="M19" s="10" t="s">
        <v>24</v>
      </c>
      <c r="N19" s="11" t="s">
        <v>122</v>
      </c>
      <c r="O19" s="11" t="s">
        <v>504</v>
      </c>
      <c r="P19" s="14">
        <v>2</v>
      </c>
      <c r="Q19" s="14">
        <v>3</v>
      </c>
      <c r="R19" s="15">
        <f>RiskRegister[[#This Row],[Residual Likelihood (1-5)]]*RiskRegister[[#This Row],[Residual Impact (1-5)]]</f>
        <v>6</v>
      </c>
      <c r="S19" s="16" t="str">
        <f>IF(RiskRegister[[#This Row],[Residual Score (L×I)]]&gt;=15,"Red — Critical",IF(RiskRegister[[#This Row],[Residual Score (L×I)]]&gt;=10,"Amber — High",IF(RiskRegister[[#This Row],[Residual Score (L×I)]]&gt;=5,"Yellow — Moderate","Green — Low")))</f>
        <v>Yellow — Moderate</v>
      </c>
      <c r="T19" s="17" t="str">
        <f>IF(RiskRegister[[#This Row],[Residual Score (L×I)]]&gt;=20,"Critical",IF(RiskRegister[[#This Row],[Residual Score (L×I)]]&gt;=15,"High",IF(RiskRegister[[#This Row],[Residual Score (L×I)]]&gt;=10,"Medium","Low")))</f>
        <v>Low</v>
      </c>
      <c r="U19" s="11" t="s">
        <v>123</v>
      </c>
      <c r="V19" s="11" t="s">
        <v>471</v>
      </c>
    </row>
    <row r="20" spans="1:22" ht="48" x14ac:dyDescent="0.35">
      <c r="A20" s="10" t="s">
        <v>124</v>
      </c>
      <c r="B20" s="11" t="s">
        <v>125</v>
      </c>
      <c r="C20" s="11" t="s">
        <v>126</v>
      </c>
      <c r="D20" s="12" t="s">
        <v>39</v>
      </c>
      <c r="E20" s="11" t="s">
        <v>435</v>
      </c>
      <c r="F20" s="12" t="s">
        <v>127</v>
      </c>
      <c r="G20" s="13">
        <f t="shared" si="0"/>
        <v>46245</v>
      </c>
      <c r="H20" s="13">
        <f>EDATE(RiskRegister[[#This Row],[Last Review Date]],IF(RiskRegister[[#This Row],[Risk Zone]]="Red — Critical",1,IF(RiskRegister[[#This Row],[Risk Zone]]="Amber — High",3,IF(RiskRegister[[#This Row],[Risk Zone]]="Yellow — Moderate",6,12))))</f>
        <v>46337</v>
      </c>
      <c r="I20" s="14">
        <v>3</v>
      </c>
      <c r="J20" s="14">
        <v>4</v>
      </c>
      <c r="K20" s="15">
        <f>RiskRegister[[#This Row],[Inherent Likelihood (1-5)]]*RiskRegister[[#This Row],[Inherent Impact (1-5)]]</f>
        <v>12</v>
      </c>
      <c r="L20" s="11" t="s">
        <v>128</v>
      </c>
      <c r="M20" s="10" t="s">
        <v>75</v>
      </c>
      <c r="N20" s="11" t="s">
        <v>129</v>
      </c>
      <c r="O20" s="11" t="s">
        <v>505</v>
      </c>
      <c r="P20" s="14">
        <v>3</v>
      </c>
      <c r="Q20" s="14">
        <v>4</v>
      </c>
      <c r="R20" s="15">
        <f>RiskRegister[[#This Row],[Residual Likelihood (1-5)]]*RiskRegister[[#This Row],[Residual Impact (1-5)]]</f>
        <v>12</v>
      </c>
      <c r="S20" s="16" t="str">
        <f>IF(RiskRegister[[#This Row],[Residual Score (L×I)]]&gt;=15,"Red — Critical",IF(RiskRegister[[#This Row],[Residual Score (L×I)]]&gt;=10,"Amber — High",IF(RiskRegister[[#This Row],[Residual Score (L×I)]]&gt;=5,"Yellow — Moderate","Green — Low")))</f>
        <v>Amber — High</v>
      </c>
      <c r="T20" s="17" t="str">
        <f>IF(RiskRegister[[#This Row],[Residual Score (L×I)]]&gt;=20,"Critical",IF(RiskRegister[[#This Row],[Residual Score (L×I)]]&gt;=15,"High",IF(RiskRegister[[#This Row],[Residual Score (L×I)]]&gt;=10,"Medium","Low")))</f>
        <v>Medium</v>
      </c>
      <c r="U20" s="11" t="s">
        <v>130</v>
      </c>
      <c r="V20" s="11" t="s">
        <v>468</v>
      </c>
    </row>
    <row r="21" spans="1:22" ht="72" x14ac:dyDescent="0.35">
      <c r="A21" s="10" t="s">
        <v>131</v>
      </c>
      <c r="B21" s="11" t="s">
        <v>132</v>
      </c>
      <c r="C21" s="11" t="s">
        <v>133</v>
      </c>
      <c r="D21" s="12" t="s">
        <v>134</v>
      </c>
      <c r="E21" s="11" t="s">
        <v>450</v>
      </c>
      <c r="F21" s="12" t="s">
        <v>135</v>
      </c>
      <c r="G21" s="13">
        <f t="shared" si="0"/>
        <v>46245</v>
      </c>
      <c r="H21" s="13">
        <f>EDATE(RiskRegister[[#This Row],[Last Review Date]],IF(RiskRegister[[#This Row],[Risk Zone]]="Red — Critical",1,IF(RiskRegister[[#This Row],[Risk Zone]]="Amber — High",3,IF(RiskRegister[[#This Row],[Risk Zone]]="Yellow — Moderate",6,12))))</f>
        <v>46429</v>
      </c>
      <c r="I21" s="14">
        <v>2</v>
      </c>
      <c r="J21" s="14">
        <v>5</v>
      </c>
      <c r="K21" s="15">
        <f>RiskRegister[[#This Row],[Inherent Likelihood (1-5)]]*RiskRegister[[#This Row],[Inherent Impact (1-5)]]</f>
        <v>10</v>
      </c>
      <c r="L21" s="11" t="s">
        <v>136</v>
      </c>
      <c r="M21" s="10" t="s">
        <v>24</v>
      </c>
      <c r="N21" s="11" t="s">
        <v>137</v>
      </c>
      <c r="O21" s="11" t="s">
        <v>506</v>
      </c>
      <c r="P21" s="14">
        <v>2</v>
      </c>
      <c r="Q21" s="14">
        <v>4</v>
      </c>
      <c r="R21" s="15">
        <f>RiskRegister[[#This Row],[Residual Likelihood (1-5)]]*RiskRegister[[#This Row],[Residual Impact (1-5)]]</f>
        <v>8</v>
      </c>
      <c r="S21" s="16" t="str">
        <f>IF(RiskRegister[[#This Row],[Residual Score (L×I)]]&gt;=15,"Red — Critical",IF(RiskRegister[[#This Row],[Residual Score (L×I)]]&gt;=10,"Amber — High",IF(RiskRegister[[#This Row],[Residual Score (L×I)]]&gt;=5,"Yellow — Moderate","Green — Low")))</f>
        <v>Yellow — Moderate</v>
      </c>
      <c r="T21" s="17" t="str">
        <f>IF(RiskRegister[[#This Row],[Residual Score (L×I)]]&gt;=20,"Critical",IF(RiskRegister[[#This Row],[Residual Score (L×I)]]&gt;=15,"High",IF(RiskRegister[[#This Row],[Residual Score (L×I)]]&gt;=10,"Medium","Low")))</f>
        <v>Low</v>
      </c>
      <c r="U21" s="11" t="s">
        <v>138</v>
      </c>
      <c r="V21" s="11" t="s">
        <v>472</v>
      </c>
    </row>
    <row r="22" spans="1:22" ht="72" x14ac:dyDescent="0.35">
      <c r="A22" s="10" t="s">
        <v>139</v>
      </c>
      <c r="B22" s="11" t="s">
        <v>140</v>
      </c>
      <c r="C22" s="11" t="s">
        <v>141</v>
      </c>
      <c r="D22" s="12" t="s">
        <v>142</v>
      </c>
      <c r="E22" s="11" t="s">
        <v>143</v>
      </c>
      <c r="F22" s="12" t="s">
        <v>144</v>
      </c>
      <c r="G22" s="13">
        <f t="shared" si="0"/>
        <v>46245</v>
      </c>
      <c r="H22" s="13">
        <f>EDATE(RiskRegister[[#This Row],[Last Review Date]],IF(RiskRegister[[#This Row],[Risk Zone]]="Red — Critical",1,IF(RiskRegister[[#This Row],[Risk Zone]]="Amber — High",3,IF(RiskRegister[[#This Row],[Risk Zone]]="Yellow — Moderate",6,12))))</f>
        <v>46429</v>
      </c>
      <c r="I22" s="14">
        <v>3</v>
      </c>
      <c r="J22" s="14">
        <v>5</v>
      </c>
      <c r="K22" s="15">
        <f>RiskRegister[[#This Row],[Inherent Likelihood (1-5)]]*RiskRegister[[#This Row],[Inherent Impact (1-5)]]</f>
        <v>15</v>
      </c>
      <c r="L22" s="11" t="s">
        <v>145</v>
      </c>
      <c r="M22" s="10" t="s">
        <v>24</v>
      </c>
      <c r="N22" s="11" t="s">
        <v>146</v>
      </c>
      <c r="O22" s="11" t="s">
        <v>507</v>
      </c>
      <c r="P22" s="14">
        <v>2</v>
      </c>
      <c r="Q22" s="14">
        <v>4</v>
      </c>
      <c r="R22" s="15">
        <f>RiskRegister[[#This Row],[Residual Likelihood (1-5)]]*RiskRegister[[#This Row],[Residual Impact (1-5)]]</f>
        <v>8</v>
      </c>
      <c r="S22" s="16" t="str">
        <f>IF(RiskRegister[[#This Row],[Residual Score (L×I)]]&gt;=15,"Red — Critical",IF(RiskRegister[[#This Row],[Residual Score (L×I)]]&gt;=10,"Amber — High",IF(RiskRegister[[#This Row],[Residual Score (L×I)]]&gt;=5,"Yellow — Moderate","Green — Low")))</f>
        <v>Yellow — Moderate</v>
      </c>
      <c r="T22" s="17" t="str">
        <f>IF(RiskRegister[[#This Row],[Residual Score (L×I)]]&gt;=20,"Critical",IF(RiskRegister[[#This Row],[Residual Score (L×I)]]&gt;=15,"High",IF(RiskRegister[[#This Row],[Residual Score (L×I)]]&gt;=10,"Medium","Low")))</f>
        <v>Low</v>
      </c>
      <c r="U22" s="11" t="s">
        <v>147</v>
      </c>
      <c r="V22" s="11" t="s">
        <v>473</v>
      </c>
    </row>
    <row r="23" spans="1:22" ht="48" x14ac:dyDescent="0.35">
      <c r="A23" s="10" t="s">
        <v>148</v>
      </c>
      <c r="B23" s="11" t="s">
        <v>149</v>
      </c>
      <c r="C23" s="11" t="s">
        <v>150</v>
      </c>
      <c r="D23" s="12" t="s">
        <v>151</v>
      </c>
      <c r="E23" s="11" t="s">
        <v>152</v>
      </c>
      <c r="F23" s="12" t="s">
        <v>153</v>
      </c>
      <c r="G23" s="13">
        <f t="shared" si="0"/>
        <v>46245</v>
      </c>
      <c r="H23" s="13">
        <f>EDATE(RiskRegister[[#This Row],[Last Review Date]],IF(RiskRegister[[#This Row],[Risk Zone]]="Red — Critical",1,IF(RiskRegister[[#This Row],[Risk Zone]]="Amber — High",3,IF(RiskRegister[[#This Row],[Risk Zone]]="Yellow — Moderate",6,12))))</f>
        <v>46337</v>
      </c>
      <c r="I23" s="14">
        <v>3</v>
      </c>
      <c r="J23" s="14">
        <v>4</v>
      </c>
      <c r="K23" s="15">
        <f>RiskRegister[[#This Row],[Inherent Likelihood (1-5)]]*RiskRegister[[#This Row],[Inherent Impact (1-5)]]</f>
        <v>12</v>
      </c>
      <c r="L23" s="11" t="s">
        <v>154</v>
      </c>
      <c r="M23" s="10" t="s">
        <v>75</v>
      </c>
      <c r="N23" s="11" t="s">
        <v>155</v>
      </c>
      <c r="O23" s="11" t="s">
        <v>508</v>
      </c>
      <c r="P23" s="14">
        <v>3</v>
      </c>
      <c r="Q23" s="14">
        <v>4</v>
      </c>
      <c r="R23" s="15">
        <f>RiskRegister[[#This Row],[Residual Likelihood (1-5)]]*RiskRegister[[#This Row],[Residual Impact (1-5)]]</f>
        <v>12</v>
      </c>
      <c r="S23" s="16" t="str">
        <f>IF(RiskRegister[[#This Row],[Residual Score (L×I)]]&gt;=15,"Red — Critical",IF(RiskRegister[[#This Row],[Residual Score (L×I)]]&gt;=10,"Amber — High",IF(RiskRegister[[#This Row],[Residual Score (L×I)]]&gt;=5,"Yellow — Moderate","Green — Low")))</f>
        <v>Amber — High</v>
      </c>
      <c r="T23" s="17" t="str">
        <f>IF(RiskRegister[[#This Row],[Residual Score (L×I)]]&gt;=20,"Critical",IF(RiskRegister[[#This Row],[Residual Score (L×I)]]&gt;=15,"High",IF(RiskRegister[[#This Row],[Residual Score (L×I)]]&gt;=10,"Medium","Low")))</f>
        <v>Medium</v>
      </c>
      <c r="U23" s="11" t="s">
        <v>156</v>
      </c>
      <c r="V23" s="11" t="s">
        <v>468</v>
      </c>
    </row>
    <row r="24" spans="1:22" ht="72" x14ac:dyDescent="0.35">
      <c r="A24" s="10" t="s">
        <v>157</v>
      </c>
      <c r="B24" s="11" t="s">
        <v>158</v>
      </c>
      <c r="C24" s="11" t="s">
        <v>159</v>
      </c>
      <c r="D24" s="12" t="s">
        <v>160</v>
      </c>
      <c r="E24" s="11" t="s">
        <v>451</v>
      </c>
      <c r="F24" s="12" t="s">
        <v>161</v>
      </c>
      <c r="G24" s="13">
        <f t="shared" si="0"/>
        <v>46245</v>
      </c>
      <c r="H24" s="13">
        <f>EDATE(RiskRegister[[#This Row],[Last Review Date]],IF(RiskRegister[[#This Row],[Risk Zone]]="Red — Critical",1,IF(RiskRegister[[#This Row],[Risk Zone]]="Amber — High",3,IF(RiskRegister[[#This Row],[Risk Zone]]="Yellow — Moderate",6,12))))</f>
        <v>46429</v>
      </c>
      <c r="I24" s="14">
        <v>3</v>
      </c>
      <c r="J24" s="14">
        <v>5</v>
      </c>
      <c r="K24" s="15">
        <f>RiskRegister[[#This Row],[Inherent Likelihood (1-5)]]*RiskRegister[[#This Row],[Inherent Impact (1-5)]]</f>
        <v>15</v>
      </c>
      <c r="L24" s="11" t="s">
        <v>162</v>
      </c>
      <c r="M24" s="10" t="s">
        <v>24</v>
      </c>
      <c r="N24" s="11" t="s">
        <v>163</v>
      </c>
      <c r="O24" s="11" t="s">
        <v>509</v>
      </c>
      <c r="P24" s="14">
        <v>2</v>
      </c>
      <c r="Q24" s="14">
        <v>4</v>
      </c>
      <c r="R24" s="15">
        <f>RiskRegister[[#This Row],[Residual Likelihood (1-5)]]*RiskRegister[[#This Row],[Residual Impact (1-5)]]</f>
        <v>8</v>
      </c>
      <c r="S24" s="16" t="str">
        <f>IF(RiskRegister[[#This Row],[Residual Score (L×I)]]&gt;=15,"Red — Critical",IF(RiskRegister[[#This Row],[Residual Score (L×I)]]&gt;=10,"Amber — High",IF(RiskRegister[[#This Row],[Residual Score (L×I)]]&gt;=5,"Yellow — Moderate","Green — Low")))</f>
        <v>Yellow — Moderate</v>
      </c>
      <c r="T24" s="17" t="str">
        <f>IF(RiskRegister[[#This Row],[Residual Score (L×I)]]&gt;=20,"Critical",IF(RiskRegister[[#This Row],[Residual Score (L×I)]]&gt;=15,"High",IF(RiskRegister[[#This Row],[Residual Score (L×I)]]&gt;=10,"Medium","Low")))</f>
        <v>Low</v>
      </c>
      <c r="U24" s="11" t="s">
        <v>164</v>
      </c>
      <c r="V24" s="11" t="s">
        <v>474</v>
      </c>
    </row>
    <row r="25" spans="1:22" ht="72" x14ac:dyDescent="0.35">
      <c r="A25" s="10" t="s">
        <v>165</v>
      </c>
      <c r="B25" s="11" t="s">
        <v>166</v>
      </c>
      <c r="C25" s="11" t="s">
        <v>167</v>
      </c>
      <c r="D25" s="12" t="s">
        <v>168</v>
      </c>
      <c r="E25" s="11" t="s">
        <v>169</v>
      </c>
      <c r="F25" s="12" t="s">
        <v>170</v>
      </c>
      <c r="G25" s="13">
        <f t="shared" si="0"/>
        <v>46245</v>
      </c>
      <c r="H25" s="13">
        <f>EDATE(RiskRegister[[#This Row],[Last Review Date]],IF(RiskRegister[[#This Row],[Risk Zone]]="Red — Critical",1,IF(RiskRegister[[#This Row],[Risk Zone]]="Amber — High",3,IF(RiskRegister[[#This Row],[Risk Zone]]="Yellow — Moderate",6,12))))</f>
        <v>46429</v>
      </c>
      <c r="I25" s="14">
        <v>3</v>
      </c>
      <c r="J25" s="14">
        <v>4</v>
      </c>
      <c r="K25" s="15">
        <f>RiskRegister[[#This Row],[Inherent Likelihood (1-5)]]*RiskRegister[[#This Row],[Inherent Impact (1-5)]]</f>
        <v>12</v>
      </c>
      <c r="L25" s="11" t="s">
        <v>171</v>
      </c>
      <c r="M25" s="10" t="s">
        <v>24</v>
      </c>
      <c r="N25" s="11" t="s">
        <v>172</v>
      </c>
      <c r="O25" s="11" t="s">
        <v>510</v>
      </c>
      <c r="P25" s="14">
        <v>2</v>
      </c>
      <c r="Q25" s="14">
        <v>3</v>
      </c>
      <c r="R25" s="15">
        <f>RiskRegister[[#This Row],[Residual Likelihood (1-5)]]*RiskRegister[[#This Row],[Residual Impact (1-5)]]</f>
        <v>6</v>
      </c>
      <c r="S25" s="16" t="str">
        <f>IF(RiskRegister[[#This Row],[Residual Score (L×I)]]&gt;=15,"Red — Critical",IF(RiskRegister[[#This Row],[Residual Score (L×I)]]&gt;=10,"Amber — High",IF(RiskRegister[[#This Row],[Residual Score (L×I)]]&gt;=5,"Yellow — Moderate","Green — Low")))</f>
        <v>Yellow — Moderate</v>
      </c>
      <c r="T25" s="17" t="str">
        <f>IF(RiskRegister[[#This Row],[Residual Score (L×I)]]&gt;=20,"Critical",IF(RiskRegister[[#This Row],[Residual Score (L×I)]]&gt;=15,"High",IF(RiskRegister[[#This Row],[Residual Score (L×I)]]&gt;=10,"Medium","Low")))</f>
        <v>Low</v>
      </c>
      <c r="U25" s="11" t="s">
        <v>173</v>
      </c>
      <c r="V25" s="11" t="s">
        <v>475</v>
      </c>
    </row>
    <row r="26" spans="1:22" ht="72" x14ac:dyDescent="0.35">
      <c r="A26" s="10" t="s">
        <v>174</v>
      </c>
      <c r="B26" s="11" t="s">
        <v>175</v>
      </c>
      <c r="C26" s="11" t="s">
        <v>176</v>
      </c>
      <c r="D26" s="12" t="s">
        <v>119</v>
      </c>
      <c r="E26" s="11" t="s">
        <v>452</v>
      </c>
      <c r="F26" s="12" t="s">
        <v>120</v>
      </c>
      <c r="G26" s="13">
        <f t="shared" si="0"/>
        <v>46245</v>
      </c>
      <c r="H26" s="13">
        <f>EDATE(RiskRegister[[#This Row],[Last Review Date]],IF(RiskRegister[[#This Row],[Risk Zone]]="Red — Critical",1,IF(RiskRegister[[#This Row],[Risk Zone]]="Amber — High",3,IF(RiskRegister[[#This Row],[Risk Zone]]="Yellow — Moderate",6,12))))</f>
        <v>46429</v>
      </c>
      <c r="I26" s="14">
        <v>3</v>
      </c>
      <c r="J26" s="14">
        <v>5</v>
      </c>
      <c r="K26" s="15">
        <f>RiskRegister[[#This Row],[Inherent Likelihood (1-5)]]*RiskRegister[[#This Row],[Inherent Impact (1-5)]]</f>
        <v>15</v>
      </c>
      <c r="L26" s="11" t="s">
        <v>177</v>
      </c>
      <c r="M26" s="10" t="s">
        <v>24</v>
      </c>
      <c r="N26" s="11" t="s">
        <v>178</v>
      </c>
      <c r="O26" s="11" t="s">
        <v>511</v>
      </c>
      <c r="P26" s="14">
        <v>2</v>
      </c>
      <c r="Q26" s="14">
        <v>4</v>
      </c>
      <c r="R26" s="15">
        <f>RiskRegister[[#This Row],[Residual Likelihood (1-5)]]*RiskRegister[[#This Row],[Residual Impact (1-5)]]</f>
        <v>8</v>
      </c>
      <c r="S26" s="16" t="str">
        <f>IF(RiskRegister[[#This Row],[Residual Score (L×I)]]&gt;=15,"Red — Critical",IF(RiskRegister[[#This Row],[Residual Score (L×I)]]&gt;=10,"Amber — High",IF(RiskRegister[[#This Row],[Residual Score (L×I)]]&gt;=5,"Yellow — Moderate","Green — Low")))</f>
        <v>Yellow — Moderate</v>
      </c>
      <c r="T26" s="17" t="str">
        <f>IF(RiskRegister[[#This Row],[Residual Score (L×I)]]&gt;=20,"Critical",IF(RiskRegister[[#This Row],[Residual Score (L×I)]]&gt;=15,"High",IF(RiskRegister[[#This Row],[Residual Score (L×I)]]&gt;=10,"Medium","Low")))</f>
        <v>Low</v>
      </c>
      <c r="U26" s="11" t="s">
        <v>179</v>
      </c>
      <c r="V26" s="11" t="s">
        <v>476</v>
      </c>
    </row>
    <row r="27" spans="1:22" ht="72" x14ac:dyDescent="0.35">
      <c r="A27" s="10" t="s">
        <v>180</v>
      </c>
      <c r="B27" s="11" t="s">
        <v>181</v>
      </c>
      <c r="C27" s="11" t="s">
        <v>182</v>
      </c>
      <c r="D27" s="12" t="s">
        <v>183</v>
      </c>
      <c r="E27" s="11" t="s">
        <v>436</v>
      </c>
      <c r="F27" s="12" t="s">
        <v>135</v>
      </c>
      <c r="G27" s="13">
        <f t="shared" si="0"/>
        <v>46245</v>
      </c>
      <c r="H27" s="13">
        <f>EDATE(RiskRegister[[#This Row],[Last Review Date]],IF(RiskRegister[[#This Row],[Risk Zone]]="Red — Critical",1,IF(RiskRegister[[#This Row],[Risk Zone]]="Amber — High",3,IF(RiskRegister[[#This Row],[Risk Zone]]="Yellow — Moderate",6,12))))</f>
        <v>46610</v>
      </c>
      <c r="I27" s="14">
        <v>2</v>
      </c>
      <c r="J27" s="14">
        <v>5</v>
      </c>
      <c r="K27" s="15">
        <f>RiskRegister[[#This Row],[Inherent Likelihood (1-5)]]*RiskRegister[[#This Row],[Inherent Impact (1-5)]]</f>
        <v>10</v>
      </c>
      <c r="L27" s="11" t="s">
        <v>184</v>
      </c>
      <c r="M27" s="10" t="s">
        <v>43</v>
      </c>
      <c r="N27" s="11" t="s">
        <v>185</v>
      </c>
      <c r="O27" s="11" t="s">
        <v>512</v>
      </c>
      <c r="P27" s="14">
        <v>1</v>
      </c>
      <c r="Q27" s="14">
        <v>4</v>
      </c>
      <c r="R27" s="15">
        <f>RiskRegister[[#This Row],[Residual Likelihood (1-5)]]*RiskRegister[[#This Row],[Residual Impact (1-5)]]</f>
        <v>4</v>
      </c>
      <c r="S27" s="16" t="str">
        <f>IF(RiskRegister[[#This Row],[Residual Score (L×I)]]&gt;=15,"Red — Critical",IF(RiskRegister[[#This Row],[Residual Score (L×I)]]&gt;=10,"Amber — High",IF(RiskRegister[[#This Row],[Residual Score (L×I)]]&gt;=5,"Yellow — Moderate","Green — Low")))</f>
        <v>Green — Low</v>
      </c>
      <c r="T27" s="17" t="str">
        <f>IF(RiskRegister[[#This Row],[Residual Score (L×I)]]&gt;=20,"Critical",IF(RiskRegister[[#This Row],[Residual Score (L×I)]]&gt;=15,"High",IF(RiskRegister[[#This Row],[Residual Score (L×I)]]&gt;=10,"Medium","Low")))</f>
        <v>Low</v>
      </c>
      <c r="U27" s="11" t="s">
        <v>187</v>
      </c>
      <c r="V27" s="11" t="s">
        <v>477</v>
      </c>
    </row>
    <row r="28" spans="1:22" ht="72" x14ac:dyDescent="0.35">
      <c r="A28" s="10" t="s">
        <v>188</v>
      </c>
      <c r="B28" s="11" t="s">
        <v>189</v>
      </c>
      <c r="C28" s="11" t="s">
        <v>190</v>
      </c>
      <c r="D28" s="12" t="s">
        <v>191</v>
      </c>
      <c r="E28" s="11" t="s">
        <v>192</v>
      </c>
      <c r="F28" s="12" t="s">
        <v>193</v>
      </c>
      <c r="G28" s="13">
        <f t="shared" si="0"/>
        <v>46245</v>
      </c>
      <c r="H28" s="13">
        <f>EDATE(RiskRegister[[#This Row],[Last Review Date]],IF(RiskRegister[[#This Row],[Risk Zone]]="Red — Critical",1,IF(RiskRegister[[#This Row],[Risk Zone]]="Amber — High",3,IF(RiskRegister[[#This Row],[Risk Zone]]="Yellow — Moderate",6,12))))</f>
        <v>46429</v>
      </c>
      <c r="I28" s="14">
        <v>2</v>
      </c>
      <c r="J28" s="14">
        <v>4</v>
      </c>
      <c r="K28" s="15">
        <f>RiskRegister[[#This Row],[Inherent Likelihood (1-5)]]*RiskRegister[[#This Row],[Inherent Impact (1-5)]]</f>
        <v>8</v>
      </c>
      <c r="L28" s="11" t="s">
        <v>194</v>
      </c>
      <c r="M28" s="10" t="s">
        <v>24</v>
      </c>
      <c r="N28" s="11" t="s">
        <v>195</v>
      </c>
      <c r="O28" s="11" t="s">
        <v>513</v>
      </c>
      <c r="P28" s="14">
        <v>2</v>
      </c>
      <c r="Q28" s="14">
        <v>3</v>
      </c>
      <c r="R28" s="15">
        <f>RiskRegister[[#This Row],[Residual Likelihood (1-5)]]*RiskRegister[[#This Row],[Residual Impact (1-5)]]</f>
        <v>6</v>
      </c>
      <c r="S28" s="16" t="str">
        <f>IF(RiskRegister[[#This Row],[Residual Score (L×I)]]&gt;=15,"Red — Critical",IF(RiskRegister[[#This Row],[Residual Score (L×I)]]&gt;=10,"Amber — High",IF(RiskRegister[[#This Row],[Residual Score (L×I)]]&gt;=5,"Yellow — Moderate","Green — Low")))</f>
        <v>Yellow — Moderate</v>
      </c>
      <c r="T28" s="17" t="str">
        <f>IF(RiskRegister[[#This Row],[Residual Score (L×I)]]&gt;=20,"Critical",IF(RiskRegister[[#This Row],[Residual Score (L×I)]]&gt;=15,"High",IF(RiskRegister[[#This Row],[Residual Score (L×I)]]&gt;=10,"Medium","Low")))</f>
        <v>Low</v>
      </c>
      <c r="U28" s="11" t="s">
        <v>196</v>
      </c>
      <c r="V28" s="11" t="s">
        <v>478</v>
      </c>
    </row>
    <row r="29" spans="1:22" ht="72" x14ac:dyDescent="0.35">
      <c r="A29" s="10" t="s">
        <v>197</v>
      </c>
      <c r="B29" s="11" t="s">
        <v>198</v>
      </c>
      <c r="C29" s="11" t="s">
        <v>199</v>
      </c>
      <c r="D29" s="12" t="s">
        <v>200</v>
      </c>
      <c r="E29" s="11" t="s">
        <v>201</v>
      </c>
      <c r="F29" s="12" t="s">
        <v>127</v>
      </c>
      <c r="G29" s="13">
        <f t="shared" si="0"/>
        <v>46245</v>
      </c>
      <c r="H29" s="13">
        <f>EDATE(RiskRegister[[#This Row],[Last Review Date]],IF(RiskRegister[[#This Row],[Risk Zone]]="Red — Critical",1,IF(RiskRegister[[#This Row],[Risk Zone]]="Amber — High",3,IF(RiskRegister[[#This Row],[Risk Zone]]="Yellow — Moderate",6,12))))</f>
        <v>46610</v>
      </c>
      <c r="I29" s="14">
        <v>2</v>
      </c>
      <c r="J29" s="14">
        <v>4</v>
      </c>
      <c r="K29" s="15">
        <f>RiskRegister[[#This Row],[Inherent Likelihood (1-5)]]*RiskRegister[[#This Row],[Inherent Impact (1-5)]]</f>
        <v>8</v>
      </c>
      <c r="L29" s="11" t="s">
        <v>202</v>
      </c>
      <c r="M29" s="10" t="s">
        <v>24</v>
      </c>
      <c r="N29" s="11" t="s">
        <v>203</v>
      </c>
      <c r="O29" s="11" t="s">
        <v>514</v>
      </c>
      <c r="P29" s="14">
        <v>1</v>
      </c>
      <c r="Q29" s="14">
        <v>3</v>
      </c>
      <c r="R29" s="15">
        <f>RiskRegister[[#This Row],[Residual Likelihood (1-5)]]*RiskRegister[[#This Row],[Residual Impact (1-5)]]</f>
        <v>3</v>
      </c>
      <c r="S29" s="16" t="str">
        <f>IF(RiskRegister[[#This Row],[Residual Score (L×I)]]&gt;=15,"Red — Critical",IF(RiskRegister[[#This Row],[Residual Score (L×I)]]&gt;=10,"Amber — High",IF(RiskRegister[[#This Row],[Residual Score (L×I)]]&gt;=5,"Yellow — Moderate","Green — Low")))</f>
        <v>Green — Low</v>
      </c>
      <c r="T29" s="17" t="str">
        <f>IF(RiskRegister[[#This Row],[Residual Score (L×I)]]&gt;=20,"Critical",IF(RiskRegister[[#This Row],[Residual Score (L×I)]]&gt;=15,"High",IF(RiskRegister[[#This Row],[Residual Score (L×I)]]&gt;=10,"Medium","Low")))</f>
        <v>Low</v>
      </c>
      <c r="U29" s="11" t="s">
        <v>204</v>
      </c>
      <c r="V29" s="11" t="s">
        <v>479</v>
      </c>
    </row>
    <row r="30" spans="1:22" ht="72" x14ac:dyDescent="0.35">
      <c r="A30" s="10" t="s">
        <v>205</v>
      </c>
      <c r="B30" s="11" t="s">
        <v>206</v>
      </c>
      <c r="C30" s="11" t="s">
        <v>207</v>
      </c>
      <c r="D30" s="12" t="s">
        <v>208</v>
      </c>
      <c r="E30" s="11" t="s">
        <v>437</v>
      </c>
      <c r="F30" s="12" t="s">
        <v>209</v>
      </c>
      <c r="G30" s="13">
        <f t="shared" si="0"/>
        <v>46245</v>
      </c>
      <c r="H30" s="13">
        <f>EDATE(RiskRegister[[#This Row],[Last Review Date]],IF(RiskRegister[[#This Row],[Risk Zone]]="Red — Critical",1,IF(RiskRegister[[#This Row],[Risk Zone]]="Amber — High",3,IF(RiskRegister[[#This Row],[Risk Zone]]="Yellow — Moderate",6,12))))</f>
        <v>46429</v>
      </c>
      <c r="I30" s="14">
        <v>3</v>
      </c>
      <c r="J30" s="14">
        <v>4</v>
      </c>
      <c r="K30" s="15">
        <f>RiskRegister[[#This Row],[Inherent Likelihood (1-5)]]*RiskRegister[[#This Row],[Inherent Impact (1-5)]]</f>
        <v>12</v>
      </c>
      <c r="L30" s="11" t="s">
        <v>210</v>
      </c>
      <c r="M30" s="10" t="s">
        <v>24</v>
      </c>
      <c r="N30" s="11" t="s">
        <v>211</v>
      </c>
      <c r="O30" s="11" t="s">
        <v>515</v>
      </c>
      <c r="P30" s="14">
        <v>2</v>
      </c>
      <c r="Q30" s="14">
        <v>3</v>
      </c>
      <c r="R30" s="15">
        <f>RiskRegister[[#This Row],[Residual Likelihood (1-5)]]*RiskRegister[[#This Row],[Residual Impact (1-5)]]</f>
        <v>6</v>
      </c>
      <c r="S30" s="16" t="str">
        <f>IF(RiskRegister[[#This Row],[Residual Score (L×I)]]&gt;=15,"Red — Critical",IF(RiskRegister[[#This Row],[Residual Score (L×I)]]&gt;=10,"Amber — High",IF(RiskRegister[[#This Row],[Residual Score (L×I)]]&gt;=5,"Yellow — Moderate","Green — Low")))</f>
        <v>Yellow — Moderate</v>
      </c>
      <c r="T30" s="17" t="str">
        <f>IF(RiskRegister[[#This Row],[Residual Score (L×I)]]&gt;=20,"Critical",IF(RiskRegister[[#This Row],[Residual Score (L×I)]]&gt;=15,"High",IF(RiskRegister[[#This Row],[Residual Score (L×I)]]&gt;=10,"Medium","Low")))</f>
        <v>Low</v>
      </c>
      <c r="U30" s="11" t="s">
        <v>212</v>
      </c>
      <c r="V30" s="11" t="s">
        <v>480</v>
      </c>
    </row>
    <row r="31" spans="1:22" ht="72" x14ac:dyDescent="0.35">
      <c r="A31" s="10" t="s">
        <v>213</v>
      </c>
      <c r="B31" s="11" t="s">
        <v>214</v>
      </c>
      <c r="C31" s="11" t="s">
        <v>215</v>
      </c>
      <c r="D31" s="12" t="s">
        <v>216</v>
      </c>
      <c r="E31" s="11" t="s">
        <v>217</v>
      </c>
      <c r="F31" s="12" t="s">
        <v>218</v>
      </c>
      <c r="G31" s="13">
        <f t="shared" si="0"/>
        <v>46245</v>
      </c>
      <c r="H31" s="13">
        <f>EDATE(RiskRegister[[#This Row],[Last Review Date]],IF(RiskRegister[[#This Row],[Risk Zone]]="Red — Critical",1,IF(RiskRegister[[#This Row],[Risk Zone]]="Amber — High",3,IF(RiskRegister[[#This Row],[Risk Zone]]="Yellow — Moderate",6,12))))</f>
        <v>46610</v>
      </c>
      <c r="I31" s="14">
        <v>2</v>
      </c>
      <c r="J31" s="14">
        <v>5</v>
      </c>
      <c r="K31" s="15">
        <f>RiskRegister[[#This Row],[Inherent Likelihood (1-5)]]*RiskRegister[[#This Row],[Inherent Impact (1-5)]]</f>
        <v>10</v>
      </c>
      <c r="L31" s="11" t="s">
        <v>219</v>
      </c>
      <c r="M31" s="10" t="s">
        <v>24</v>
      </c>
      <c r="N31" s="11" t="s">
        <v>220</v>
      </c>
      <c r="O31" s="11" t="s">
        <v>516</v>
      </c>
      <c r="P31" s="14">
        <v>1</v>
      </c>
      <c r="Q31" s="14">
        <v>4</v>
      </c>
      <c r="R31" s="15">
        <f>RiskRegister[[#This Row],[Residual Likelihood (1-5)]]*RiskRegister[[#This Row],[Residual Impact (1-5)]]</f>
        <v>4</v>
      </c>
      <c r="S31" s="16" t="str">
        <f>IF(RiskRegister[[#This Row],[Residual Score (L×I)]]&gt;=15,"Red — Critical",IF(RiskRegister[[#This Row],[Residual Score (L×I)]]&gt;=10,"Amber — High",IF(RiskRegister[[#This Row],[Residual Score (L×I)]]&gt;=5,"Yellow — Moderate","Green — Low")))</f>
        <v>Green — Low</v>
      </c>
      <c r="T31" s="17" t="str">
        <f>IF(RiskRegister[[#This Row],[Residual Score (L×I)]]&gt;=20,"Critical",IF(RiskRegister[[#This Row],[Residual Score (L×I)]]&gt;=15,"High",IF(RiskRegister[[#This Row],[Residual Score (L×I)]]&gt;=10,"Medium","Low")))</f>
        <v>Low</v>
      </c>
      <c r="U31" s="11" t="s">
        <v>221</v>
      </c>
      <c r="V31" s="11" t="s">
        <v>481</v>
      </c>
    </row>
    <row r="32" spans="1:22" ht="72" x14ac:dyDescent="0.35">
      <c r="A32" s="10" t="s">
        <v>222</v>
      </c>
      <c r="B32" s="11" t="s">
        <v>223</v>
      </c>
      <c r="C32" s="11" t="s">
        <v>224</v>
      </c>
      <c r="D32" s="12" t="s">
        <v>225</v>
      </c>
      <c r="E32" s="11" t="s">
        <v>226</v>
      </c>
      <c r="F32" s="12" t="s">
        <v>227</v>
      </c>
      <c r="G32" s="13">
        <f t="shared" si="0"/>
        <v>46245</v>
      </c>
      <c r="H32" s="13">
        <f>EDATE(RiskRegister[[#This Row],[Last Review Date]],IF(RiskRegister[[#This Row],[Risk Zone]]="Red — Critical",1,IF(RiskRegister[[#This Row],[Risk Zone]]="Amber — High",3,IF(RiskRegister[[#This Row],[Risk Zone]]="Yellow — Moderate",6,12))))</f>
        <v>46429</v>
      </c>
      <c r="I32" s="14">
        <v>3</v>
      </c>
      <c r="J32" s="14">
        <v>4</v>
      </c>
      <c r="K32" s="15">
        <f>RiskRegister[[#This Row],[Inherent Likelihood (1-5)]]*RiskRegister[[#This Row],[Inherent Impact (1-5)]]</f>
        <v>12</v>
      </c>
      <c r="L32" s="11" t="s">
        <v>228</v>
      </c>
      <c r="M32" s="10" t="s">
        <v>24</v>
      </c>
      <c r="N32" s="11" t="s">
        <v>229</v>
      </c>
      <c r="O32" s="11" t="s">
        <v>517</v>
      </c>
      <c r="P32" s="14">
        <v>2</v>
      </c>
      <c r="Q32" s="14">
        <v>3</v>
      </c>
      <c r="R32" s="15">
        <f>RiskRegister[[#This Row],[Residual Likelihood (1-5)]]*RiskRegister[[#This Row],[Residual Impact (1-5)]]</f>
        <v>6</v>
      </c>
      <c r="S32" s="16" t="str">
        <f>IF(RiskRegister[[#This Row],[Residual Score (L×I)]]&gt;=15,"Red — Critical",IF(RiskRegister[[#This Row],[Residual Score (L×I)]]&gt;=10,"Amber — High",IF(RiskRegister[[#This Row],[Residual Score (L×I)]]&gt;=5,"Yellow — Moderate","Green — Low")))</f>
        <v>Yellow — Moderate</v>
      </c>
      <c r="T32" s="17" t="str">
        <f>IF(RiskRegister[[#This Row],[Residual Score (L×I)]]&gt;=20,"Critical",IF(RiskRegister[[#This Row],[Residual Score (L×I)]]&gt;=15,"High",IF(RiskRegister[[#This Row],[Residual Score (L×I)]]&gt;=10,"Medium","Low")))</f>
        <v>Low</v>
      </c>
      <c r="U32" s="11" t="s">
        <v>230</v>
      </c>
      <c r="V32" s="11" t="s">
        <v>482</v>
      </c>
    </row>
    <row r="33" spans="1:22" ht="72" x14ac:dyDescent="0.35">
      <c r="A33" s="10" t="s">
        <v>231</v>
      </c>
      <c r="B33" s="11" t="s">
        <v>232</v>
      </c>
      <c r="C33" s="11" t="s">
        <v>233</v>
      </c>
      <c r="D33" s="12" t="s">
        <v>216</v>
      </c>
      <c r="E33" s="11" t="s">
        <v>234</v>
      </c>
      <c r="F33" s="12" t="s">
        <v>105</v>
      </c>
      <c r="G33" s="13">
        <f t="shared" si="0"/>
        <v>46245</v>
      </c>
      <c r="H33" s="13">
        <f>EDATE(RiskRegister[[#This Row],[Last Review Date]],IF(RiskRegister[[#This Row],[Risk Zone]]="Red — Critical",1,IF(RiskRegister[[#This Row],[Risk Zone]]="Amber — High",3,IF(RiskRegister[[#This Row],[Risk Zone]]="Yellow — Moderate",6,12))))</f>
        <v>46610</v>
      </c>
      <c r="I33" s="14">
        <v>2</v>
      </c>
      <c r="J33" s="14">
        <v>4</v>
      </c>
      <c r="K33" s="15">
        <f>RiskRegister[[#This Row],[Inherent Likelihood (1-5)]]*RiskRegister[[#This Row],[Inherent Impact (1-5)]]</f>
        <v>8</v>
      </c>
      <c r="L33" s="11" t="s">
        <v>235</v>
      </c>
      <c r="M33" s="10" t="s">
        <v>24</v>
      </c>
      <c r="N33" s="11" t="s">
        <v>236</v>
      </c>
      <c r="O33" s="11" t="s">
        <v>518</v>
      </c>
      <c r="P33" s="14">
        <v>1</v>
      </c>
      <c r="Q33" s="14">
        <v>3</v>
      </c>
      <c r="R33" s="15">
        <f>RiskRegister[[#This Row],[Residual Likelihood (1-5)]]*RiskRegister[[#This Row],[Residual Impact (1-5)]]</f>
        <v>3</v>
      </c>
      <c r="S33" s="16" t="str">
        <f>IF(RiskRegister[[#This Row],[Residual Score (L×I)]]&gt;=15,"Red — Critical",IF(RiskRegister[[#This Row],[Residual Score (L×I)]]&gt;=10,"Amber — High",IF(RiskRegister[[#This Row],[Residual Score (L×I)]]&gt;=5,"Yellow — Moderate","Green — Low")))</f>
        <v>Green — Low</v>
      </c>
      <c r="T33" s="17" t="str">
        <f>IF(RiskRegister[[#This Row],[Residual Score (L×I)]]&gt;=20,"Critical",IF(RiskRegister[[#This Row],[Residual Score (L×I)]]&gt;=15,"High",IF(RiskRegister[[#This Row],[Residual Score (L×I)]]&gt;=10,"Medium","Low")))</f>
        <v>Low</v>
      </c>
      <c r="U33" s="11" t="s">
        <v>237</v>
      </c>
      <c r="V33" s="11" t="s">
        <v>483</v>
      </c>
    </row>
    <row r="34" spans="1:22" ht="48" x14ac:dyDescent="0.35">
      <c r="A34" s="10" t="s">
        <v>238</v>
      </c>
      <c r="B34" s="11" t="s">
        <v>239</v>
      </c>
      <c r="C34" s="11" t="s">
        <v>240</v>
      </c>
      <c r="D34" s="12" t="s">
        <v>241</v>
      </c>
      <c r="E34" s="11" t="s">
        <v>451</v>
      </c>
      <c r="F34" s="12" t="s">
        <v>120</v>
      </c>
      <c r="G34" s="13">
        <f t="shared" si="0"/>
        <v>46245</v>
      </c>
      <c r="H34" s="13">
        <f>EDATE(RiskRegister[[#This Row],[Last Review Date]],IF(RiskRegister[[#This Row],[Risk Zone]]="Red — Critical",1,IF(RiskRegister[[#This Row],[Risk Zone]]="Amber — High",3,IF(RiskRegister[[#This Row],[Risk Zone]]="Yellow — Moderate",6,12))))</f>
        <v>46276</v>
      </c>
      <c r="I34" s="14">
        <v>3</v>
      </c>
      <c r="J34" s="14">
        <v>5</v>
      </c>
      <c r="K34" s="15">
        <f>RiskRegister[[#This Row],[Inherent Likelihood (1-5)]]*RiskRegister[[#This Row],[Inherent Impact (1-5)]]</f>
        <v>15</v>
      </c>
      <c r="L34" s="11" t="s">
        <v>242</v>
      </c>
      <c r="M34" s="10" t="s">
        <v>75</v>
      </c>
      <c r="N34" s="11" t="s">
        <v>243</v>
      </c>
      <c r="O34" s="11" t="s">
        <v>519</v>
      </c>
      <c r="P34" s="14">
        <v>3</v>
      </c>
      <c r="Q34" s="14">
        <v>5</v>
      </c>
      <c r="R34" s="15">
        <f>RiskRegister[[#This Row],[Residual Likelihood (1-5)]]*RiskRegister[[#This Row],[Residual Impact (1-5)]]</f>
        <v>15</v>
      </c>
      <c r="S34" s="16" t="str">
        <f>IF(RiskRegister[[#This Row],[Residual Score (L×I)]]&gt;=15,"Red — Critical",IF(RiskRegister[[#This Row],[Residual Score (L×I)]]&gt;=10,"Amber — High",IF(RiskRegister[[#This Row],[Residual Score (L×I)]]&gt;=5,"Yellow — Moderate","Green — Low")))</f>
        <v>Red — Critical</v>
      </c>
      <c r="T34" s="17" t="str">
        <f>IF(RiskRegister[[#This Row],[Residual Score (L×I)]]&gt;=20,"Critical",IF(RiskRegister[[#This Row],[Residual Score (L×I)]]&gt;=15,"High",IF(RiskRegister[[#This Row],[Residual Score (L×I)]]&gt;=10,"Medium","Low")))</f>
        <v>High</v>
      </c>
      <c r="U34" s="11" t="s">
        <v>244</v>
      </c>
      <c r="V34" s="11" t="s">
        <v>468</v>
      </c>
    </row>
    <row r="35" spans="1:22" ht="72" x14ac:dyDescent="0.35">
      <c r="A35" s="10" t="s">
        <v>245</v>
      </c>
      <c r="B35" s="11" t="s">
        <v>246</v>
      </c>
      <c r="C35" s="11" t="s">
        <v>247</v>
      </c>
      <c r="D35" s="12" t="s">
        <v>56</v>
      </c>
      <c r="E35" s="11" t="s">
        <v>456</v>
      </c>
      <c r="F35" s="12" t="s">
        <v>22</v>
      </c>
      <c r="G35" s="13">
        <f t="shared" si="0"/>
        <v>46245</v>
      </c>
      <c r="H35" s="13">
        <f>EDATE(RiskRegister[[#This Row],[Last Review Date]],IF(RiskRegister[[#This Row],[Risk Zone]]="Red — Critical",1,IF(RiskRegister[[#This Row],[Risk Zone]]="Amber — High",3,IF(RiskRegister[[#This Row],[Risk Zone]]="Yellow — Moderate",6,12))))</f>
        <v>46429</v>
      </c>
      <c r="I35" s="14">
        <v>3</v>
      </c>
      <c r="J35" s="14">
        <v>4</v>
      </c>
      <c r="K35" s="15">
        <f>RiskRegister[[#This Row],[Inherent Likelihood (1-5)]]*RiskRegister[[#This Row],[Inherent Impact (1-5)]]</f>
        <v>12</v>
      </c>
      <c r="L35" s="11" t="s">
        <v>248</v>
      </c>
      <c r="M35" s="10" t="s">
        <v>24</v>
      </c>
      <c r="N35" s="11" t="s">
        <v>249</v>
      </c>
      <c r="O35" s="11" t="s">
        <v>520</v>
      </c>
      <c r="P35" s="14">
        <v>2</v>
      </c>
      <c r="Q35" s="14">
        <v>3</v>
      </c>
      <c r="R35" s="15">
        <f>RiskRegister[[#This Row],[Residual Likelihood (1-5)]]*RiskRegister[[#This Row],[Residual Impact (1-5)]]</f>
        <v>6</v>
      </c>
      <c r="S35" s="16" t="str">
        <f>IF(RiskRegister[[#This Row],[Residual Score (L×I)]]&gt;=15,"Red — Critical",IF(RiskRegister[[#This Row],[Residual Score (L×I)]]&gt;=10,"Amber — High",IF(RiskRegister[[#This Row],[Residual Score (L×I)]]&gt;=5,"Yellow — Moderate","Green — Low")))</f>
        <v>Yellow — Moderate</v>
      </c>
      <c r="T35" s="17" t="str">
        <f>IF(RiskRegister[[#This Row],[Residual Score (L×I)]]&gt;=20,"Critical",IF(RiskRegister[[#This Row],[Residual Score (L×I)]]&gt;=15,"High",IF(RiskRegister[[#This Row],[Residual Score (L×I)]]&gt;=10,"Medium","Low")))</f>
        <v>Low</v>
      </c>
      <c r="U35" s="11" t="s">
        <v>250</v>
      </c>
      <c r="V35" s="11" t="s">
        <v>484</v>
      </c>
    </row>
    <row r="36" spans="1:22" ht="72" x14ac:dyDescent="0.35">
      <c r="A36" s="10" t="s">
        <v>251</v>
      </c>
      <c r="B36" s="11" t="s">
        <v>252</v>
      </c>
      <c r="C36" s="11" t="s">
        <v>253</v>
      </c>
      <c r="D36" s="12" t="s">
        <v>142</v>
      </c>
      <c r="E36" s="11" t="s">
        <v>457</v>
      </c>
      <c r="F36" s="12" t="s">
        <v>135</v>
      </c>
      <c r="G36" s="13">
        <f t="shared" si="0"/>
        <v>46245</v>
      </c>
      <c r="H36" s="13">
        <f>EDATE(RiskRegister[[#This Row],[Last Review Date]],IF(RiskRegister[[#This Row],[Risk Zone]]="Red — Critical",1,IF(RiskRegister[[#This Row],[Risk Zone]]="Amber — High",3,IF(RiskRegister[[#This Row],[Risk Zone]]="Yellow — Moderate",6,12))))</f>
        <v>46610</v>
      </c>
      <c r="I36" s="14">
        <v>2</v>
      </c>
      <c r="J36" s="14">
        <v>5</v>
      </c>
      <c r="K36" s="15">
        <f>RiskRegister[[#This Row],[Inherent Likelihood (1-5)]]*RiskRegister[[#This Row],[Inherent Impact (1-5)]]</f>
        <v>10</v>
      </c>
      <c r="L36" s="11" t="s">
        <v>254</v>
      </c>
      <c r="M36" s="10" t="s">
        <v>24</v>
      </c>
      <c r="N36" s="11" t="s">
        <v>255</v>
      </c>
      <c r="O36" s="11" t="s">
        <v>521</v>
      </c>
      <c r="P36" s="14">
        <v>1</v>
      </c>
      <c r="Q36" s="14">
        <v>4</v>
      </c>
      <c r="R36" s="15">
        <f>RiskRegister[[#This Row],[Residual Likelihood (1-5)]]*RiskRegister[[#This Row],[Residual Impact (1-5)]]</f>
        <v>4</v>
      </c>
      <c r="S36" s="16" t="str">
        <f>IF(RiskRegister[[#This Row],[Residual Score (L×I)]]&gt;=15,"Red — Critical",IF(RiskRegister[[#This Row],[Residual Score (L×I)]]&gt;=10,"Amber — High",IF(RiskRegister[[#This Row],[Residual Score (L×I)]]&gt;=5,"Yellow — Moderate","Green — Low")))</f>
        <v>Green — Low</v>
      </c>
      <c r="T36" s="17" t="str">
        <f>IF(RiskRegister[[#This Row],[Residual Score (L×I)]]&gt;=20,"Critical",IF(RiskRegister[[#This Row],[Residual Score (L×I)]]&gt;=15,"High",IF(RiskRegister[[#This Row],[Residual Score (L×I)]]&gt;=10,"Medium","Low")))</f>
        <v>Low</v>
      </c>
      <c r="U36" s="11" t="s">
        <v>256</v>
      </c>
      <c r="V36" s="11" t="s">
        <v>485</v>
      </c>
    </row>
  </sheetData>
  <mergeCells count="7">
    <mergeCell ref="A1:V1"/>
    <mergeCell ref="A2:V2"/>
    <mergeCell ref="A5:V5"/>
    <mergeCell ref="M4:V4"/>
    <mergeCell ref="A4:D4"/>
    <mergeCell ref="E4:H4"/>
    <mergeCell ref="I4:L4"/>
  </mergeCells>
  <conditionalFormatting sqref="M7:M36">
    <cfRule type="expression" dxfId="13" priority="5">
      <formula>M7="Weak"</formula>
    </cfRule>
    <cfRule type="expression" dxfId="12" priority="6">
      <formula>M7="Adequate"</formula>
    </cfRule>
    <cfRule type="expression" dxfId="11" priority="7">
      <formula>M7="Strong"</formula>
    </cfRule>
  </conditionalFormatting>
  <conditionalFormatting sqref="R7:R36">
    <cfRule type="expression" dxfId="10" priority="1">
      <formula>R7&gt;=15</formula>
    </cfRule>
    <cfRule type="expression" dxfId="9" priority="2">
      <formula>AND(R7&gt;=10,R7&lt;15)</formula>
    </cfRule>
    <cfRule type="expression" dxfId="8" priority="3">
      <formula>AND(R7&gt;=5,R7&lt;10)</formula>
    </cfRule>
    <cfRule type="expression" dxfId="7" priority="4">
      <formula>AND(R7&gt;=1,R7&lt;5)</formula>
    </cfRule>
  </conditionalFormatting>
  <pageMargins left="0.7" right="0.7" top="0.75" bottom="0.75" header="0.3" footer="0.3"/>
  <pageSetup scale="31"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777F2-860E-46A0-9015-30D969CF1D93}">
  <sheetPr>
    <tabColor rgb="FF5B9BD5"/>
  </sheetPr>
  <dimension ref="A1:D18"/>
  <sheetViews>
    <sheetView showGridLines="0" topLeftCell="A11" workbookViewId="0">
      <selection activeCell="A18" sqref="A18:D18"/>
    </sheetView>
  </sheetViews>
  <sheetFormatPr defaultRowHeight="14.5" x14ac:dyDescent="0.35"/>
  <cols>
    <col min="1" max="1" width="20.90625" customWidth="1"/>
    <col min="2" max="2" width="16.36328125" customWidth="1"/>
    <col min="3" max="3" width="32.7265625" customWidth="1"/>
    <col min="4" max="4" width="28.1796875" customWidth="1"/>
  </cols>
  <sheetData>
    <row r="1" spans="1:4" ht="30" customHeight="1" x14ac:dyDescent="0.35">
      <c r="A1" s="97" t="s">
        <v>537</v>
      </c>
      <c r="B1" s="97"/>
      <c r="C1" s="97"/>
      <c r="D1" s="97"/>
    </row>
    <row r="2" spans="1:4" x14ac:dyDescent="0.35">
      <c r="A2" s="102" t="s">
        <v>538</v>
      </c>
      <c r="B2" s="102"/>
      <c r="C2" s="102"/>
      <c r="D2" s="102"/>
    </row>
    <row r="3" spans="1:4" x14ac:dyDescent="0.35">
      <c r="A3" s="7"/>
      <c r="B3" s="7"/>
      <c r="C3" s="7"/>
      <c r="D3" s="7"/>
    </row>
    <row r="4" spans="1:4" x14ac:dyDescent="0.35">
      <c r="A4" s="103" t="s">
        <v>539</v>
      </c>
      <c r="B4" s="103"/>
      <c r="C4" s="103"/>
      <c r="D4" s="103"/>
    </row>
    <row r="5" spans="1:4" x14ac:dyDescent="0.35">
      <c r="A5" s="103"/>
      <c r="B5" s="103"/>
      <c r="C5" s="103"/>
      <c r="D5" s="103"/>
    </row>
    <row r="6" spans="1:4" x14ac:dyDescent="0.35">
      <c r="A6" s="7"/>
      <c r="B6" s="7"/>
      <c r="C6" s="7"/>
      <c r="D6" s="7"/>
    </row>
    <row r="7" spans="1:4" x14ac:dyDescent="0.35">
      <c r="A7" s="104" t="s">
        <v>540</v>
      </c>
      <c r="B7" s="104"/>
      <c r="C7" s="104"/>
      <c r="D7" s="104"/>
    </row>
    <row r="8" spans="1:4" x14ac:dyDescent="0.35">
      <c r="A8" s="7" t="s">
        <v>541</v>
      </c>
      <c r="B8" s="7" t="s">
        <v>542</v>
      </c>
      <c r="C8" s="7" t="s">
        <v>543</v>
      </c>
      <c r="D8" s="7" t="s">
        <v>309</v>
      </c>
    </row>
    <row r="9" spans="1:4" x14ac:dyDescent="0.35">
      <c r="A9" s="7" t="s">
        <v>21</v>
      </c>
      <c r="B9" s="7" t="s">
        <v>349</v>
      </c>
      <c r="C9" s="7" t="s">
        <v>544</v>
      </c>
      <c r="D9" s="7" t="s">
        <v>545</v>
      </c>
    </row>
    <row r="10" spans="1:4" x14ac:dyDescent="0.35">
      <c r="A10" s="7" t="s">
        <v>56</v>
      </c>
      <c r="B10" s="7" t="s">
        <v>349</v>
      </c>
      <c r="C10" s="7" t="s">
        <v>544</v>
      </c>
      <c r="D10" s="7" t="s">
        <v>545</v>
      </c>
    </row>
    <row r="11" spans="1:4" x14ac:dyDescent="0.35">
      <c r="A11" s="7" t="s">
        <v>72</v>
      </c>
      <c r="B11" s="7" t="s">
        <v>352</v>
      </c>
      <c r="C11" s="7" t="s">
        <v>546</v>
      </c>
      <c r="D11" s="7" t="s">
        <v>547</v>
      </c>
    </row>
    <row r="12" spans="1:4" x14ac:dyDescent="0.35">
      <c r="A12" s="7" t="s">
        <v>142</v>
      </c>
      <c r="B12" s="7" t="s">
        <v>548</v>
      </c>
      <c r="C12" s="7" t="s">
        <v>549</v>
      </c>
      <c r="D12" s="7" t="s">
        <v>550</v>
      </c>
    </row>
    <row r="13" spans="1:4" x14ac:dyDescent="0.35">
      <c r="A13" s="7" t="s">
        <v>104</v>
      </c>
      <c r="B13" s="7" t="s">
        <v>352</v>
      </c>
      <c r="C13" s="7" t="s">
        <v>546</v>
      </c>
      <c r="D13" s="7" t="s">
        <v>551</v>
      </c>
    </row>
    <row r="14" spans="1:4" x14ac:dyDescent="0.35">
      <c r="A14" s="7"/>
      <c r="B14" s="7"/>
      <c r="C14" s="7"/>
      <c r="D14" s="7"/>
    </row>
    <row r="15" spans="1:4" x14ac:dyDescent="0.35">
      <c r="A15" s="105" t="s">
        <v>552</v>
      </c>
      <c r="B15" s="105"/>
      <c r="C15" s="105"/>
      <c r="D15" s="105"/>
    </row>
    <row r="16" spans="1:4" x14ac:dyDescent="0.35">
      <c r="A16" s="105"/>
      <c r="B16" s="105"/>
      <c r="C16" s="105"/>
      <c r="D16" s="105"/>
    </row>
    <row r="17" spans="1:4" x14ac:dyDescent="0.35">
      <c r="A17" s="7"/>
      <c r="B17" s="7"/>
      <c r="C17" s="7"/>
      <c r="D17" s="7"/>
    </row>
    <row r="18" spans="1:4" ht="20" customHeight="1" x14ac:dyDescent="0.35">
      <c r="A18" s="101" t="s">
        <v>731</v>
      </c>
      <c r="B18" s="101"/>
      <c r="C18" s="101"/>
      <c r="D18" s="101"/>
    </row>
  </sheetData>
  <mergeCells count="6">
    <mergeCell ref="A18:D18"/>
    <mergeCell ref="A1:D1"/>
    <mergeCell ref="A2:D2"/>
    <mergeCell ref="A4:D5"/>
    <mergeCell ref="A7:D7"/>
    <mergeCell ref="A15:D16"/>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5A87-B96F-4195-A195-6E940219BCF4}">
  <sheetPr>
    <tabColor rgb="FFED7D31"/>
    <pageSetUpPr fitToPage="1"/>
  </sheetPr>
  <dimension ref="A1:L43"/>
  <sheetViews>
    <sheetView showGridLines="0" topLeftCell="A39" zoomScaleNormal="100" workbookViewId="0">
      <selection activeCell="A43" sqref="A43:L43"/>
    </sheetView>
  </sheetViews>
  <sheetFormatPr defaultRowHeight="14.5" x14ac:dyDescent="0.35"/>
  <cols>
    <col min="1" max="1" width="12.6328125" style="1" bestFit="1" customWidth="1"/>
    <col min="2" max="2" width="33.453125" style="1" bestFit="1" customWidth="1"/>
    <col min="3" max="3" width="15.1796875" style="1" bestFit="1" customWidth="1"/>
    <col min="4" max="6" width="4.54296875" style="1" bestFit="1" customWidth="1"/>
    <col min="7" max="7" width="3.6328125" style="1" customWidth="1"/>
    <col min="8" max="8" width="16.08984375" style="1" bestFit="1" customWidth="1"/>
    <col min="9" max="10" width="5.90625" style="1" bestFit="1" customWidth="1"/>
    <col min="11" max="12" width="16.36328125" style="1" customWidth="1"/>
    <col min="13" max="16384" width="8.7265625" style="1"/>
  </cols>
  <sheetData>
    <row r="1" spans="1:12" ht="48" customHeight="1" x14ac:dyDescent="0.35">
      <c r="A1" s="110" t="s">
        <v>321</v>
      </c>
      <c r="B1" s="110"/>
      <c r="C1" s="110"/>
      <c r="D1" s="110"/>
      <c r="E1" s="110"/>
      <c r="F1" s="110"/>
      <c r="G1" s="110"/>
      <c r="H1" s="110"/>
      <c r="I1" s="110"/>
      <c r="J1" s="110"/>
      <c r="K1" s="110"/>
      <c r="L1" s="110"/>
    </row>
    <row r="2" spans="1:12" ht="24" customHeight="1" x14ac:dyDescent="0.35">
      <c r="A2" s="75" t="s">
        <v>424</v>
      </c>
      <c r="B2" s="75"/>
      <c r="C2" s="75"/>
      <c r="D2" s="75"/>
      <c r="E2" s="75"/>
      <c r="F2" s="75"/>
      <c r="G2" s="75"/>
      <c r="H2" s="75"/>
      <c r="I2" s="75"/>
      <c r="J2" s="75"/>
      <c r="K2" s="75"/>
      <c r="L2" s="75"/>
    </row>
    <row r="3" spans="1:12" ht="8" customHeight="1" x14ac:dyDescent="0.35">
      <c r="A3" s="18"/>
      <c r="B3" s="18"/>
      <c r="C3" s="18"/>
      <c r="D3" s="18"/>
      <c r="E3" s="18"/>
      <c r="F3" s="18"/>
      <c r="G3" s="18"/>
      <c r="H3" s="18"/>
      <c r="I3" s="18"/>
      <c r="J3" s="18"/>
      <c r="K3" s="18"/>
      <c r="L3" s="18"/>
    </row>
    <row r="4" spans="1:12" ht="30" customHeight="1" x14ac:dyDescent="0.35">
      <c r="A4" s="111" t="str">
        <f>"CRITICAL  |  "&amp;COUNTIF(RiskRegister[Risk Zone],"Red — Critical")</f>
        <v>CRITICAL  |  4</v>
      </c>
      <c r="B4" s="111"/>
      <c r="C4" s="111"/>
      <c r="D4" s="112" t="str">
        <f>"HIGH  |  "&amp;COUNTIF(RiskRegister[Risk Zone],"Amber — High")</f>
        <v>HIGH  |  4</v>
      </c>
      <c r="E4" s="112"/>
      <c r="F4" s="112"/>
      <c r="G4" s="113" t="str">
        <f>"MODERATE  |  "&amp;COUNTIF(RiskRegister[Risk Zone],"Yellow — Moderate")</f>
        <v>MODERATE  |  17</v>
      </c>
      <c r="H4" s="113"/>
      <c r="I4" s="113"/>
      <c r="J4" s="114" t="str">
        <f>"LOW  |  "&amp;COUNTIF(RiskRegister[Risk Zone],"Green — Low")</f>
        <v>LOW  |  5</v>
      </c>
      <c r="K4" s="114"/>
      <c r="L4" s="114"/>
    </row>
    <row r="5" spans="1:12" ht="24" customHeight="1" x14ac:dyDescent="0.35">
      <c r="A5" s="115" t="str">
        <f>"Residual exposure comprises "&amp;COUNTIF(RiskRegister[Risk Zone],"Red — Critical")&amp;" critical, "&amp;COUNTIF(RiskRegister[Risk Zone],"Amber — High")&amp;" high, "&amp;COUNTIF(RiskRegister[Risk Zone],"Yellow — Moderate")&amp;" moderate and "&amp;COUNTIF(RiskRegister[Risk Zone],"Green — Low")&amp;" low risks. The highest residual score is "&amp;MAX(RiskRegister[Residual Score (L×I)])&amp;"/25. Portfolio interpretation prioritises red-zone positions and risks supported by Weak controls."</f>
        <v>Residual exposure comprises 4 critical, 4 high, 17 moderate and 5 low risks. The highest residual score is 20/25. Portfolio interpretation prioritises red-zone positions and risks supported by Weak controls.</v>
      </c>
      <c r="B5" s="115"/>
      <c r="C5" s="115"/>
      <c r="D5" s="115"/>
      <c r="E5" s="115"/>
      <c r="F5" s="115"/>
      <c r="G5" s="115"/>
      <c r="H5" s="115"/>
      <c r="I5" s="115"/>
      <c r="J5" s="115"/>
      <c r="K5" s="115"/>
      <c r="L5" s="115"/>
    </row>
    <row r="6" spans="1:12" ht="24" customHeight="1" x14ac:dyDescent="0.35">
      <c r="A6" s="115"/>
      <c r="B6" s="115"/>
      <c r="C6" s="115"/>
      <c r="D6" s="115"/>
      <c r="E6" s="115"/>
      <c r="F6" s="115"/>
      <c r="G6" s="115"/>
      <c r="H6" s="115"/>
      <c r="I6" s="115"/>
      <c r="J6" s="115"/>
      <c r="K6" s="115"/>
      <c r="L6" s="115"/>
    </row>
    <row r="7" spans="1:12" ht="8" customHeight="1" x14ac:dyDescent="0.35">
      <c r="A7" s="18"/>
      <c r="B7" s="18"/>
      <c r="C7" s="18"/>
      <c r="D7" s="18"/>
      <c r="E7" s="18"/>
      <c r="F7" s="18"/>
      <c r="G7" s="18"/>
      <c r="H7" s="18"/>
      <c r="I7" s="18"/>
      <c r="J7" s="18"/>
      <c r="K7" s="18"/>
      <c r="L7" s="18"/>
    </row>
    <row r="8" spans="1:12" ht="23" customHeight="1" x14ac:dyDescent="0.35">
      <c r="A8" s="69" t="s">
        <v>322</v>
      </c>
      <c r="B8" s="69"/>
      <c r="C8" s="69"/>
      <c r="D8" s="69"/>
      <c r="E8" s="69"/>
      <c r="F8" s="69"/>
      <c r="G8" s="18"/>
      <c r="H8" s="69" t="s">
        <v>323</v>
      </c>
      <c r="I8" s="69"/>
      <c r="J8" s="69"/>
      <c r="K8" s="69"/>
      <c r="L8" s="69"/>
    </row>
    <row r="9" spans="1:12" x14ac:dyDescent="0.35">
      <c r="A9" s="19" t="s">
        <v>325</v>
      </c>
      <c r="B9" s="19">
        <v>1</v>
      </c>
      <c r="C9" s="19">
        <v>2</v>
      </c>
      <c r="D9" s="19">
        <v>3</v>
      </c>
      <c r="E9" s="19">
        <v>4</v>
      </c>
      <c r="F9" s="19">
        <v>5</v>
      </c>
      <c r="G9" s="18"/>
      <c r="H9" s="19" t="s">
        <v>327</v>
      </c>
      <c r="I9" s="19" t="s">
        <v>328</v>
      </c>
      <c r="J9" s="19" t="s">
        <v>329</v>
      </c>
      <c r="K9" s="18"/>
      <c r="L9" s="18"/>
    </row>
    <row r="10" spans="1:12" ht="56" customHeight="1" x14ac:dyDescent="0.35">
      <c r="A10" s="20">
        <v>5</v>
      </c>
      <c r="B10" s="21" t="str" cm="1">
        <f t="array" ref="B10">IFERROR(_xlfn.TEXTJOIN(CHAR(10),TRUE,_xlfn._xlws.FILTER(RiskRegister[Risk ID],(RiskRegister[Residual Likelihood (1-5)]=$A10)*(RiskRegister[Residual Impact (1-5)]=B$9))),"—")</f>
        <v>—</v>
      </c>
      <c r="C10" s="22" t="str" cm="1">
        <f t="array" ref="C10">IFERROR(_xlfn.TEXTJOIN(CHAR(10),TRUE,_xlfn._xlws.FILTER(RiskRegister[Risk ID],(RiskRegister[Residual Likelihood (1-5)]=$A10)*(RiskRegister[Residual Impact (1-5)]=C$9))),"—")</f>
        <v>—</v>
      </c>
      <c r="D10" s="23" t="str" cm="1">
        <f t="array" ref="D10">IFERROR(_xlfn.TEXTJOIN(CHAR(10),TRUE,_xlfn._xlws.FILTER(RiskRegister[Risk ID],(RiskRegister[Residual Likelihood (1-5)]=$A10)*(RiskRegister[Residual Impact (1-5)]=D$9))),"—")</f>
        <v>—</v>
      </c>
      <c r="E10" s="23" t="str" cm="1">
        <f t="array" ref="E10">IFERROR(_xlfn.TEXTJOIN(CHAR(10),TRUE,_xlfn._xlws.FILTER(RiskRegister[Risk ID],(RiskRegister[Residual Likelihood (1-5)]=$A10)*(RiskRegister[Residual Impact (1-5)]=E$9))),"—")</f>
        <v>—</v>
      </c>
      <c r="F10" s="24" t="str" cm="1">
        <f t="array" ref="F10">IFERROR(_xlfn.TEXTJOIN(CHAR(10),TRUE,_xlfn._xlws.FILTER(RiskRegister[Risk ID],(RiskRegister[Residual Likelihood (1-5)]=$A10)*(RiskRegister[Residual Impact (1-5)]=F$9))),"—")</f>
        <v>—</v>
      </c>
      <c r="G10" s="18"/>
      <c r="H10" s="25" t="s">
        <v>61</v>
      </c>
      <c r="I10" s="26">
        <f>COUNTIF(RiskRegister[Risk Zone],H10)</f>
        <v>4</v>
      </c>
      <c r="J10" s="27">
        <f>I10/COUNTA(RiskRegister[Risk ID])</f>
        <v>0.13333333333333333</v>
      </c>
      <c r="K10" s="18"/>
      <c r="L10" s="18"/>
    </row>
    <row r="11" spans="1:12" ht="56" customHeight="1" x14ac:dyDescent="0.35">
      <c r="A11" s="20">
        <v>4</v>
      </c>
      <c r="B11" s="28" t="str" cm="1">
        <f t="array" ref="B11">IFERROR(_xlfn.TEXTJOIN(CHAR(10),TRUE,_xlfn._xlws.FILTER(RiskRegister[Risk ID],(RiskRegister[Residual Likelihood (1-5)]=$A11)*(RiskRegister[Residual Impact (1-5)]=B$9))),"—")</f>
        <v>—</v>
      </c>
      <c r="C11" s="21" t="str" cm="1">
        <f t="array" ref="C11">IFERROR(_xlfn.TEXTJOIN(CHAR(10),TRUE,_xlfn._xlws.FILTER(RiskRegister[Risk ID],(RiskRegister[Residual Likelihood (1-5)]=$A11)*(RiskRegister[Residual Impact (1-5)]=C$9))),"—")</f>
        <v>—</v>
      </c>
      <c r="D11" s="22" t="str" cm="1">
        <f t="array" ref="D11">IFERROR(_xlfn.TEXTJOIN(CHAR(10),TRUE,_xlfn._xlws.FILTER(RiskRegister[Risk ID],(RiskRegister[Residual Likelihood (1-5)]=$A11)*(RiskRegister[Residual Impact (1-5)]=D$9))),"—")</f>
        <v>—</v>
      </c>
      <c r="E11" s="23" t="str" cm="1">
        <f t="array" ref="E11">IFERROR(_xlfn.TEXTJOIN(CHAR(10),TRUE,_xlfn._xlws.FILTER(RiskRegister[Risk ID],(RiskRegister[Residual Likelihood (1-5)]=$A11)*(RiskRegister[Residual Impact (1-5)]=E$9))),"—")</f>
        <v>—</v>
      </c>
      <c r="F11" s="24" t="str" cm="1">
        <f t="array" ref="F11">IFERROR(_xlfn.TEXTJOIN(CHAR(10),TRUE,_xlfn._xlws.FILTER(RiskRegister[Risk ID],(RiskRegister[Residual Likelihood (1-5)]=$A11)*(RiskRegister[Residual Impact (1-5)]=F$9))),"—")</f>
        <v>R007
R010</v>
      </c>
      <c r="G11" s="18"/>
      <c r="H11" s="29" t="s">
        <v>26</v>
      </c>
      <c r="I11" s="30">
        <f>COUNTIF(RiskRegister[Risk Zone],H11)</f>
        <v>4</v>
      </c>
      <c r="J11" s="31">
        <f>I11/COUNTA(RiskRegister[Risk ID])</f>
        <v>0.13333333333333333</v>
      </c>
      <c r="K11" s="18"/>
      <c r="L11" s="18"/>
    </row>
    <row r="12" spans="1:12" ht="51" customHeight="1" x14ac:dyDescent="0.35">
      <c r="A12" s="20">
        <v>3</v>
      </c>
      <c r="B12" s="28" t="str" cm="1">
        <f t="array" ref="B12">IFERROR(_xlfn.TEXTJOIN(CHAR(10),TRUE,_xlfn._xlws.FILTER(RiskRegister[Risk ID],(RiskRegister[Residual Likelihood (1-5)]=$A12)*(RiskRegister[Residual Impact (1-5)]=B$9))),"—")</f>
        <v>—</v>
      </c>
      <c r="C12" s="21" t="str" cm="1">
        <f t="array" ref="C12">IFERROR(_xlfn.TEXTJOIN(CHAR(10),TRUE,_xlfn._xlws.FILTER(RiskRegister[Risk ID],(RiskRegister[Residual Likelihood (1-5)]=$A12)*(RiskRegister[Residual Impact (1-5)]=C$9))),"—")</f>
        <v>—</v>
      </c>
      <c r="D12" s="21" t="str" cm="1">
        <f t="array" ref="D12">IFERROR(_xlfn.TEXTJOIN(CHAR(10),TRUE,_xlfn._xlws.FILTER(RiskRegister[Risk ID],(RiskRegister[Residual Likelihood (1-5)]=$A12)*(RiskRegister[Residual Impact (1-5)]=D$9))),"—")</f>
        <v>—</v>
      </c>
      <c r="E12" s="22" t="str" cm="1">
        <f t="array" ref="E12">IFERROR(_xlfn.TEXTJOIN(CHAR(10),TRUE,_xlfn._xlws.FILTER(RiskRegister[Risk ID],(RiskRegister[Residual Likelihood (1-5)]=$A12)*(RiskRegister[Residual Impact (1-5)]=E$9))),"—")</f>
        <v>R001
R004
R014
R017</v>
      </c>
      <c r="F12" s="24" t="str" cm="1">
        <f t="array" ref="F12">IFERROR(_xlfn.TEXTJOIN(CHAR(10),TRUE,_xlfn._xlws.FILTER(RiskRegister[Risk ID],(RiskRegister[Residual Likelihood (1-5)]=$A12)*(RiskRegister[Residual Impact (1-5)]=F$9))),"—")</f>
        <v>R005
R028</v>
      </c>
      <c r="G12" s="18"/>
      <c r="H12" s="32" t="s">
        <v>34</v>
      </c>
      <c r="I12" s="33">
        <f>COUNTIF(RiskRegister[Risk Zone],H12)</f>
        <v>17</v>
      </c>
      <c r="J12" s="34">
        <f>I12/COUNTA(RiskRegister[Risk ID])</f>
        <v>0.56666666666666665</v>
      </c>
      <c r="K12" s="18"/>
      <c r="L12" s="18"/>
    </row>
    <row r="13" spans="1:12" ht="136" customHeight="1" x14ac:dyDescent="0.35">
      <c r="A13" s="20">
        <v>2</v>
      </c>
      <c r="B13" s="28" t="str" cm="1">
        <f t="array" ref="B13">IFERROR(_xlfn.TEXTJOIN(CHAR(10),TRUE,_xlfn._xlws.FILTER(RiskRegister[Risk ID],(RiskRegister[Residual Likelihood (1-5)]=$A13)*(RiskRegister[Residual Impact (1-5)]=B$9))),"—")</f>
        <v>—</v>
      </c>
      <c r="C13" s="28" t="str" cm="1">
        <f t="array" ref="C13">IFERROR(_xlfn.TEXTJOIN(CHAR(10),TRUE,_xlfn._xlws.FILTER(RiskRegister[Risk ID],(RiskRegister[Residual Likelihood (1-5)]=$A13)*(RiskRegister[Residual Impact (1-5)]=C$9))),"—")</f>
        <v>—</v>
      </c>
      <c r="D13" s="21" t="str" cm="1">
        <f t="array" ref="D13">IFERROR(_xlfn.TEXTJOIN(CHAR(10),TRUE,_xlfn._xlws.FILTER(RiskRegister[Risk ID],(RiskRegister[Residual Likelihood (1-5)]=$A13)*(RiskRegister[Residual Impact (1-5)]=D$9))),"—")</f>
        <v>R003
R008
R009
R011
R012
R013
R019
R022
R024
R026
R029</v>
      </c>
      <c r="E13" s="21" t="str" cm="1">
        <f t="array" ref="E13">IFERROR(_xlfn.TEXTJOIN(CHAR(10),TRUE,_xlfn._xlws.FILTER(RiskRegister[Risk ID],(RiskRegister[Residual Likelihood (1-5)]=$A13)*(RiskRegister[Residual Impact (1-5)]=E$9))),"—")</f>
        <v>R002
R006
R015
R016
R018
R020</v>
      </c>
      <c r="F13" s="35" t="str" cm="1">
        <f t="array" ref="F13">IFERROR(_xlfn.TEXTJOIN(CHAR(10),TRUE,_xlfn._xlws.FILTER(RiskRegister[Risk ID],(RiskRegister[Residual Likelihood (1-5)]=$A13)*(RiskRegister[Residual Impact (1-5)]=F$9))),"—")</f>
        <v>—</v>
      </c>
      <c r="G13" s="18"/>
      <c r="H13" s="36" t="s">
        <v>186</v>
      </c>
      <c r="I13" s="37">
        <f>COUNTIF(RiskRegister[Risk Zone],H13)</f>
        <v>5</v>
      </c>
      <c r="J13" s="38">
        <f>I13/COUNTA(RiskRegister[Risk ID])</f>
        <v>0.16666666666666666</v>
      </c>
      <c r="K13" s="18"/>
      <c r="L13" s="18"/>
    </row>
    <row r="14" spans="1:12" ht="53" customHeight="1" x14ac:dyDescent="0.35">
      <c r="A14" s="20">
        <v>1</v>
      </c>
      <c r="B14" s="39" t="str" cm="1">
        <f t="array" ref="B14">IFERROR(_xlfn.TEXTJOIN(CHAR(10),TRUE,_xlfn._xlws.FILTER(RiskRegister[Risk ID],(RiskRegister[Residual Likelihood (1-5)]=$A14)*(RiskRegister[Residual Impact (1-5)]=B$9))),"—")</f>
        <v>—</v>
      </c>
      <c r="C14" s="39" t="str" cm="1">
        <f t="array" ref="C14">IFERROR(_xlfn.TEXTJOIN(CHAR(10),TRUE,_xlfn._xlws.FILTER(RiskRegister[Risk ID],(RiskRegister[Residual Likelihood (1-5)]=$A14)*(RiskRegister[Residual Impact (1-5)]=C$9))),"—")</f>
        <v>—</v>
      </c>
      <c r="D14" s="39" t="str" cm="1">
        <f t="array" ref="D14">IFERROR(_xlfn.TEXTJOIN(CHAR(10),TRUE,_xlfn._xlws.FILTER(RiskRegister[Risk ID],(RiskRegister[Residual Likelihood (1-5)]=$A14)*(RiskRegister[Residual Impact (1-5)]=D$9))),"—")</f>
        <v>R023
R027</v>
      </c>
      <c r="E14" s="39" t="str" cm="1">
        <f t="array" ref="E14">IFERROR(_xlfn.TEXTJOIN(CHAR(10),TRUE,_xlfn._xlws.FILTER(RiskRegister[Risk ID],(RiskRegister[Residual Likelihood (1-5)]=$A14)*(RiskRegister[Residual Impact (1-5)]=E$9))),"—")</f>
        <v>R021
R025
R030</v>
      </c>
      <c r="F14" s="40" t="str" cm="1">
        <f t="array" ref="F14">IFERROR(_xlfn.TEXTJOIN(CHAR(10),TRUE,_xlfn._xlws.FILTER(RiskRegister[Risk ID],(RiskRegister[Residual Likelihood (1-5)]=$A14)*(RiskRegister[Residual Impact (1-5)]=F$9))),"—")</f>
        <v>—</v>
      </c>
      <c r="G14" s="18"/>
      <c r="H14" s="18"/>
      <c r="I14" s="18"/>
      <c r="J14" s="18"/>
      <c r="K14" s="18"/>
      <c r="L14" s="18"/>
    </row>
    <row r="15" spans="1:12" x14ac:dyDescent="0.35">
      <c r="A15" s="18"/>
      <c r="B15" s="116" t="s">
        <v>326</v>
      </c>
      <c r="C15" s="116"/>
      <c r="D15" s="116"/>
      <c r="E15" s="116"/>
      <c r="F15" s="116"/>
      <c r="G15" s="18"/>
      <c r="H15" s="117" t="s">
        <v>341</v>
      </c>
      <c r="I15" s="117"/>
      <c r="J15" s="117"/>
      <c r="K15" s="117"/>
      <c r="L15" s="117"/>
    </row>
    <row r="16" spans="1:12" x14ac:dyDescent="0.35">
      <c r="A16" s="18"/>
      <c r="B16" s="18"/>
      <c r="C16" s="18"/>
      <c r="D16" s="18"/>
      <c r="E16" s="18"/>
      <c r="F16" s="18"/>
      <c r="G16" s="18"/>
      <c r="H16" s="18"/>
      <c r="I16" s="18"/>
      <c r="J16" s="18"/>
      <c r="K16" s="18"/>
      <c r="L16" s="18"/>
    </row>
    <row r="17" spans="1:12" ht="23" customHeight="1" x14ac:dyDescent="0.35">
      <c r="A17" s="69" t="s">
        <v>340</v>
      </c>
      <c r="B17" s="69"/>
      <c r="C17" s="69"/>
      <c r="D17" s="69"/>
      <c r="E17" s="69"/>
      <c r="F17" s="69"/>
      <c r="G17" s="69"/>
      <c r="H17" s="69"/>
      <c r="I17" s="69"/>
      <c r="J17" s="69"/>
      <c r="K17" s="69"/>
      <c r="L17" s="69"/>
    </row>
    <row r="18" spans="1:12" ht="24" customHeight="1" x14ac:dyDescent="0.35">
      <c r="A18" s="118" t="str">
        <f>"The matrix plots all "&amp;COUNTA(RiskRegister[Risk ID])&amp;_xlfn._LONGTEXT(" risks using residual likelihood on the vertical axis and residual impact on the horizontal axis. Concentrations identify shared control weaknesses or correlated exposures, while movement toward the upper-right corner indicates increasing analytical urgen","cy.")</f>
        <v>The matrix plots all 30 risks using residual likelihood on the vertical axis and residual impact on the horizontal axis. Concentrations identify shared control weaknesses or correlated exposures, while movement toward the upper-right corner indicates increasing analytical urgency.</v>
      </c>
      <c r="B18" s="118"/>
      <c r="C18" s="118"/>
      <c r="D18" s="118"/>
      <c r="E18" s="118"/>
      <c r="F18" s="118"/>
      <c r="G18" s="118"/>
      <c r="H18" s="118"/>
      <c r="I18" s="118"/>
      <c r="J18" s="118"/>
      <c r="K18" s="118"/>
      <c r="L18" s="118"/>
    </row>
    <row r="19" spans="1:12" ht="24" customHeight="1" x14ac:dyDescent="0.35">
      <c r="A19" s="118"/>
      <c r="B19" s="118"/>
      <c r="C19" s="118"/>
      <c r="D19" s="118"/>
      <c r="E19" s="118"/>
      <c r="F19" s="118"/>
      <c r="G19" s="118"/>
      <c r="H19" s="118"/>
      <c r="I19" s="118"/>
      <c r="J19" s="118"/>
      <c r="K19" s="118"/>
      <c r="L19" s="118"/>
    </row>
    <row r="20" spans="1:12" x14ac:dyDescent="0.35">
      <c r="A20" s="18"/>
      <c r="B20" s="18"/>
      <c r="C20" s="18"/>
      <c r="D20" s="18"/>
      <c r="E20" s="18"/>
      <c r="F20" s="18"/>
      <c r="G20" s="18"/>
      <c r="H20" s="18"/>
      <c r="I20" s="18"/>
      <c r="J20" s="18"/>
      <c r="K20" s="18"/>
      <c r="L20" s="18"/>
    </row>
    <row r="21" spans="1:12" x14ac:dyDescent="0.35">
      <c r="A21" s="41" t="s">
        <v>342</v>
      </c>
      <c r="B21" s="41" t="s">
        <v>425</v>
      </c>
      <c r="C21" s="41" t="s">
        <v>343</v>
      </c>
      <c r="D21" s="18"/>
      <c r="E21" s="119" t="s">
        <v>355</v>
      </c>
      <c r="F21" s="119"/>
      <c r="G21" s="119"/>
      <c r="H21" s="119"/>
      <c r="I21" s="119"/>
      <c r="J21" s="119"/>
      <c r="K21" s="119"/>
      <c r="L21" s="119"/>
    </row>
    <row r="22" spans="1:12" ht="30" customHeight="1" x14ac:dyDescent="0.35">
      <c r="A22" s="42" t="s">
        <v>344</v>
      </c>
      <c r="B22" s="42" t="s">
        <v>426</v>
      </c>
      <c r="C22" s="42" t="s">
        <v>345</v>
      </c>
      <c r="D22" s="18"/>
      <c r="E22" s="108" t="s">
        <v>356</v>
      </c>
      <c r="F22" s="108"/>
      <c r="G22" s="108"/>
      <c r="H22" s="108"/>
      <c r="I22" s="107" t="s">
        <v>357</v>
      </c>
      <c r="J22" s="107"/>
      <c r="K22" s="107"/>
      <c r="L22" s="107"/>
    </row>
    <row r="23" spans="1:12" ht="30" customHeight="1" x14ac:dyDescent="0.35">
      <c r="A23" s="42" t="s">
        <v>346</v>
      </c>
      <c r="B23" s="42" t="s">
        <v>347</v>
      </c>
      <c r="C23" s="42" t="s">
        <v>348</v>
      </c>
      <c r="D23" s="18"/>
      <c r="E23" s="108" t="s">
        <v>358</v>
      </c>
      <c r="F23" s="108"/>
      <c r="G23" s="108"/>
      <c r="H23" s="108"/>
      <c r="I23" s="107" t="s">
        <v>359</v>
      </c>
      <c r="J23" s="107"/>
      <c r="K23" s="107"/>
      <c r="L23" s="107"/>
    </row>
    <row r="24" spans="1:12" ht="30" customHeight="1" x14ac:dyDescent="0.35">
      <c r="A24" s="42" t="s">
        <v>349</v>
      </c>
      <c r="B24" s="42" t="s">
        <v>350</v>
      </c>
      <c r="C24" s="42" t="s">
        <v>351</v>
      </c>
      <c r="D24" s="18"/>
      <c r="E24" s="108" t="s">
        <v>360</v>
      </c>
      <c r="F24" s="108"/>
      <c r="G24" s="108"/>
      <c r="H24" s="108"/>
      <c r="I24" s="107" t="str" cm="1">
        <f t="array" ref="I24">_xlfn.TEXTJOIN(", ",TRUE,_xlfn._xlws.FILTER(RiskRegister[Risk ID],(RiskRegister[Residual Likelihood (1-5)]=2)*(RiskRegister[Residual Impact (1-5)]=3)))</f>
        <v>R003, R008, R009, R011, R012, R013, R019, R022, R024, R026, R029</v>
      </c>
      <c r="J24" s="107"/>
      <c r="K24" s="107"/>
      <c r="L24" s="107"/>
    </row>
    <row r="25" spans="1:12" ht="31" customHeight="1" x14ac:dyDescent="0.35">
      <c r="A25" s="42" t="s">
        <v>352</v>
      </c>
      <c r="B25" s="42" t="s">
        <v>353</v>
      </c>
      <c r="C25" s="42" t="s">
        <v>354</v>
      </c>
      <c r="D25" s="18"/>
      <c r="E25" s="18"/>
      <c r="F25" s="18"/>
      <c r="G25" s="18"/>
      <c r="H25" s="18"/>
      <c r="I25" s="18"/>
      <c r="J25" s="18"/>
      <c r="K25" s="18"/>
      <c r="L25" s="18"/>
    </row>
    <row r="26" spans="1:12" x14ac:dyDescent="0.35">
      <c r="A26" s="18"/>
      <c r="B26" s="18"/>
      <c r="C26" s="18"/>
      <c r="D26" s="18"/>
      <c r="E26" s="18"/>
      <c r="F26" s="18"/>
      <c r="G26" s="18"/>
      <c r="H26" s="18"/>
      <c r="I26" s="18"/>
      <c r="J26" s="18"/>
      <c r="K26" s="18"/>
      <c r="L26" s="18"/>
    </row>
    <row r="27" spans="1:12" ht="23" customHeight="1" x14ac:dyDescent="0.35">
      <c r="A27" s="106" t="s">
        <v>324</v>
      </c>
      <c r="B27" s="106"/>
      <c r="C27" s="106"/>
      <c r="D27" s="106"/>
      <c r="E27" s="106"/>
      <c r="F27" s="106"/>
      <c r="G27" s="106"/>
      <c r="H27" s="106"/>
      <c r="I27" s="106"/>
      <c r="J27" s="106"/>
      <c r="K27" s="106"/>
      <c r="L27" s="106"/>
    </row>
    <row r="28" spans="1:12" x14ac:dyDescent="0.35">
      <c r="A28" s="18"/>
      <c r="B28" s="18"/>
      <c r="C28" s="18"/>
      <c r="D28" s="18"/>
      <c r="E28" s="18"/>
      <c r="F28" s="18"/>
      <c r="G28" s="18"/>
      <c r="H28" s="18"/>
      <c r="I28" s="18"/>
      <c r="J28" s="18"/>
      <c r="K28" s="18"/>
      <c r="L28" s="18"/>
    </row>
    <row r="29" spans="1:12" x14ac:dyDescent="0.35">
      <c r="A29" s="18"/>
      <c r="B29" s="18"/>
      <c r="C29" s="18"/>
      <c r="D29" s="18"/>
      <c r="E29" s="18"/>
      <c r="F29" s="18"/>
      <c r="G29" s="18"/>
      <c r="H29" s="18"/>
      <c r="I29" s="18"/>
      <c r="J29" s="18"/>
      <c r="K29" s="18"/>
      <c r="L29" s="18"/>
    </row>
    <row r="30" spans="1:12" x14ac:dyDescent="0.35">
      <c r="A30" s="18"/>
      <c r="B30" s="18"/>
      <c r="C30" s="18"/>
      <c r="D30" s="18"/>
      <c r="E30" s="18"/>
      <c r="F30" s="18"/>
      <c r="G30" s="18"/>
      <c r="H30" s="18"/>
      <c r="I30" s="18"/>
      <c r="J30" s="18"/>
      <c r="K30" s="18"/>
      <c r="L30" s="18"/>
    </row>
    <row r="31" spans="1:12" x14ac:dyDescent="0.35">
      <c r="A31" s="18"/>
      <c r="B31" s="18"/>
      <c r="C31" s="18"/>
      <c r="D31" s="18"/>
      <c r="E31" s="18"/>
      <c r="F31" s="18"/>
      <c r="G31" s="18"/>
      <c r="H31" s="18"/>
      <c r="I31" s="18"/>
      <c r="J31" s="18"/>
      <c r="K31" s="18"/>
      <c r="L31" s="18"/>
    </row>
    <row r="32" spans="1:12" x14ac:dyDescent="0.35">
      <c r="A32" s="18"/>
      <c r="B32" s="18"/>
      <c r="C32" s="18"/>
      <c r="D32" s="18"/>
      <c r="E32" s="18"/>
      <c r="F32" s="18"/>
      <c r="G32" s="18"/>
      <c r="H32" s="18"/>
      <c r="I32" s="18"/>
      <c r="J32" s="18"/>
      <c r="K32" s="18"/>
      <c r="L32" s="18"/>
    </row>
    <row r="33" spans="1:12" x14ac:dyDescent="0.35">
      <c r="A33" s="18"/>
      <c r="B33" s="18"/>
      <c r="C33" s="18"/>
      <c r="D33" s="18"/>
      <c r="E33" s="18"/>
      <c r="F33" s="18"/>
      <c r="G33" s="18"/>
      <c r="H33" s="18"/>
      <c r="I33" s="18"/>
      <c r="J33" s="18"/>
      <c r="K33" s="18"/>
      <c r="L33" s="18"/>
    </row>
    <row r="34" spans="1:12" x14ac:dyDescent="0.35">
      <c r="A34" s="18"/>
      <c r="B34" s="18"/>
      <c r="C34" s="18"/>
      <c r="D34" s="18"/>
      <c r="E34" s="18"/>
      <c r="F34" s="18"/>
      <c r="G34" s="18"/>
      <c r="H34" s="18"/>
      <c r="I34" s="18"/>
      <c r="J34" s="18"/>
      <c r="K34" s="18"/>
      <c r="L34" s="18"/>
    </row>
    <row r="35" spans="1:12" ht="22" customHeight="1" x14ac:dyDescent="0.35">
      <c r="A35" s="7"/>
      <c r="B35" s="7"/>
      <c r="C35" s="7"/>
      <c r="D35" s="7"/>
      <c r="E35" s="7"/>
      <c r="F35" s="7"/>
      <c r="G35" s="7"/>
      <c r="H35" s="7"/>
      <c r="I35" s="7"/>
      <c r="J35" s="7"/>
      <c r="K35" s="7"/>
      <c r="L35" s="7"/>
    </row>
    <row r="36" spans="1:12" x14ac:dyDescent="0.35">
      <c r="A36" s="7"/>
      <c r="B36" s="7"/>
      <c r="C36" s="7"/>
      <c r="D36" s="7"/>
      <c r="E36" s="7"/>
      <c r="F36" s="7"/>
      <c r="G36" s="7"/>
      <c r="H36" s="7"/>
      <c r="I36" s="7"/>
      <c r="J36" s="7"/>
      <c r="K36" s="7"/>
      <c r="L36" s="7"/>
    </row>
    <row r="37" spans="1:12" x14ac:dyDescent="0.35">
      <c r="A37" s="7"/>
      <c r="B37" s="7"/>
      <c r="C37" s="7"/>
      <c r="D37" s="7"/>
      <c r="E37" s="7"/>
      <c r="F37" s="7"/>
      <c r="G37" s="7"/>
      <c r="H37" s="7"/>
      <c r="I37" s="7"/>
      <c r="J37" s="7"/>
      <c r="K37" s="7"/>
      <c r="L37" s="7"/>
    </row>
    <row r="38" spans="1:12" x14ac:dyDescent="0.35">
      <c r="A38" s="7"/>
      <c r="B38" s="7"/>
      <c r="C38" s="7"/>
      <c r="D38" s="7"/>
      <c r="E38" s="7"/>
      <c r="F38" s="7"/>
      <c r="G38" s="7"/>
      <c r="H38" s="7"/>
      <c r="I38" s="7"/>
      <c r="J38" s="7"/>
      <c r="K38" s="7"/>
      <c r="L38" s="7"/>
    </row>
    <row r="39" spans="1:12" x14ac:dyDescent="0.35">
      <c r="A39" s="7"/>
      <c r="B39" s="7"/>
      <c r="C39" s="7"/>
      <c r="D39" s="7"/>
      <c r="E39" s="7"/>
      <c r="F39" s="7"/>
      <c r="G39" s="7"/>
      <c r="H39" s="7"/>
      <c r="I39" s="7"/>
      <c r="J39" s="7"/>
      <c r="K39" s="7"/>
      <c r="L39" s="7"/>
    </row>
    <row r="40" spans="1:12" x14ac:dyDescent="0.35">
      <c r="A40" s="7"/>
      <c r="B40" s="7"/>
      <c r="C40" s="7"/>
      <c r="D40" s="7"/>
      <c r="E40" s="7"/>
      <c r="F40" s="7"/>
      <c r="G40" s="7"/>
      <c r="H40" s="7"/>
      <c r="I40" s="7"/>
      <c r="J40" s="7"/>
      <c r="K40" s="7"/>
      <c r="L40" s="7"/>
    </row>
    <row r="41" spans="1:12" x14ac:dyDescent="0.35">
      <c r="A41" s="7"/>
      <c r="B41" s="7"/>
      <c r="C41" s="7"/>
      <c r="D41" s="7"/>
      <c r="E41" s="7"/>
      <c r="F41" s="7"/>
      <c r="G41" s="7"/>
      <c r="H41" s="7"/>
      <c r="I41" s="7"/>
      <c r="J41" s="7"/>
      <c r="K41" s="7"/>
      <c r="L41" s="7"/>
    </row>
    <row r="42" spans="1:12" x14ac:dyDescent="0.35">
      <c r="A42" s="7"/>
      <c r="B42" s="7"/>
      <c r="C42" s="7"/>
      <c r="D42" s="7"/>
      <c r="E42" s="7"/>
      <c r="F42" s="7"/>
      <c r="G42" s="7"/>
      <c r="H42" s="7"/>
      <c r="I42" s="7"/>
      <c r="J42" s="7"/>
      <c r="K42" s="7"/>
      <c r="L42" s="7"/>
    </row>
    <row r="43" spans="1:12" ht="22" customHeight="1" x14ac:dyDescent="0.35">
      <c r="A43" s="109" t="s">
        <v>731</v>
      </c>
      <c r="B43" s="109"/>
      <c r="C43" s="109"/>
      <c r="D43" s="109"/>
      <c r="E43" s="109"/>
      <c r="F43" s="109"/>
      <c r="G43" s="109"/>
      <c r="H43" s="109"/>
      <c r="I43" s="109"/>
      <c r="J43" s="109"/>
      <c r="K43" s="109"/>
      <c r="L43" s="109"/>
    </row>
  </sheetData>
  <mergeCells count="22">
    <mergeCell ref="A43:L43"/>
    <mergeCell ref="A1:L1"/>
    <mergeCell ref="A2:L2"/>
    <mergeCell ref="A4:C4"/>
    <mergeCell ref="D4:F4"/>
    <mergeCell ref="G4:I4"/>
    <mergeCell ref="J4:L4"/>
    <mergeCell ref="A5:L6"/>
    <mergeCell ref="A8:F8"/>
    <mergeCell ref="H8:L8"/>
    <mergeCell ref="A17:L17"/>
    <mergeCell ref="B15:F15"/>
    <mergeCell ref="H15:L15"/>
    <mergeCell ref="A18:L19"/>
    <mergeCell ref="E21:L21"/>
    <mergeCell ref="E22:H22"/>
    <mergeCell ref="A27:L27"/>
    <mergeCell ref="I22:L22"/>
    <mergeCell ref="E23:H23"/>
    <mergeCell ref="I23:L23"/>
    <mergeCell ref="E24:H24"/>
    <mergeCell ref="I24:L24"/>
  </mergeCells>
  <pageMargins left="0.7" right="0.7" top="0.75" bottom="0.75" header="0.3" footer="0.3"/>
  <pageSetup scale="4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ADEA3-A202-4873-98B9-9D9B615517D7}">
  <sheetPr>
    <tabColor rgb="FF4472C4"/>
    <pageSetUpPr fitToPage="1"/>
  </sheetPr>
  <dimension ref="A1:L34"/>
  <sheetViews>
    <sheetView showGridLines="0" topLeftCell="A30" workbookViewId="0">
      <selection activeCell="A34" sqref="A34:L34"/>
    </sheetView>
  </sheetViews>
  <sheetFormatPr defaultRowHeight="14.5" x14ac:dyDescent="0.35"/>
  <cols>
    <col min="1" max="1" width="7.26953125" style="1" customWidth="1"/>
    <col min="2" max="2" width="10" style="1" customWidth="1"/>
    <col min="3" max="3" width="27.26953125" style="1" customWidth="1"/>
    <col min="4" max="4" width="14.54296875" style="1" customWidth="1"/>
    <col min="5" max="5" width="10.90625" style="1" customWidth="1"/>
    <col min="6" max="6" width="15.453125" style="1" customWidth="1"/>
    <col min="7" max="7" width="13.6328125" style="1" customWidth="1"/>
    <col min="8" max="8" width="15.453125" style="1" customWidth="1"/>
    <col min="9" max="9" width="11.81640625" style="1" customWidth="1"/>
    <col min="10" max="10" width="2.7265625" style="1" customWidth="1"/>
    <col min="11" max="11" width="16.36328125" style="1" customWidth="1"/>
    <col min="12" max="12" width="11.81640625" style="1" customWidth="1"/>
    <col min="13" max="16384" width="8.7265625" style="1"/>
  </cols>
  <sheetData>
    <row r="1" spans="1:12" ht="48" customHeight="1" x14ac:dyDescent="0.35">
      <c r="A1" s="110" t="s">
        <v>427</v>
      </c>
      <c r="B1" s="110"/>
      <c r="C1" s="110"/>
      <c r="D1" s="110"/>
      <c r="E1" s="110"/>
      <c r="F1" s="110"/>
      <c r="G1" s="110"/>
      <c r="H1" s="110"/>
      <c r="I1" s="110"/>
      <c r="J1" s="110"/>
      <c r="K1" s="110"/>
      <c r="L1" s="110"/>
    </row>
    <row r="2" spans="1:12" ht="24" customHeight="1" x14ac:dyDescent="0.35">
      <c r="A2" s="75" t="s">
        <v>428</v>
      </c>
      <c r="B2" s="75"/>
      <c r="C2" s="75"/>
      <c r="D2" s="75"/>
      <c r="E2" s="75"/>
      <c r="F2" s="75"/>
      <c r="G2" s="75"/>
      <c r="H2" s="75"/>
      <c r="I2" s="75"/>
      <c r="J2" s="75"/>
      <c r="K2" s="75"/>
      <c r="L2" s="75"/>
    </row>
    <row r="3" spans="1:12" ht="8" customHeight="1" x14ac:dyDescent="0.35">
      <c r="A3" s="8"/>
      <c r="B3" s="8"/>
      <c r="C3" s="8"/>
      <c r="D3" s="8"/>
      <c r="E3" s="8"/>
      <c r="F3" s="8"/>
      <c r="G3" s="8"/>
      <c r="H3" s="8"/>
      <c r="I3" s="8"/>
      <c r="J3" s="8"/>
      <c r="K3" s="8"/>
      <c r="L3" s="8"/>
    </row>
    <row r="4" spans="1:12" ht="30" customHeight="1" x14ac:dyDescent="0.35">
      <c r="A4" s="121" t="str">
        <f>"RISKS ASSESSED  |  "&amp;COUNTA(RiskRegister[Risk ID])</f>
        <v>RISKS ASSESSED  |  30</v>
      </c>
      <c r="B4" s="121"/>
      <c r="C4" s="121"/>
      <c r="D4" s="122" t="str">
        <f>"CRITICAL RESIDUAL  |  "&amp;COUNTIF(RiskRegister[Risk Zone],"Red — Critical")</f>
        <v>CRITICAL RESIDUAL  |  4</v>
      </c>
      <c r="E4" s="122"/>
      <c r="F4" s="122"/>
      <c r="G4" s="123" t="str">
        <f>"WEAK CONTROLS  |  "&amp;COUNTIF(RiskRegister[Control Effectiveness (Strong/Adequate/Weak)],"Weak")</f>
        <v>WEAK CONTROLS  |  5</v>
      </c>
      <c r="H4" s="123"/>
      <c r="I4" s="123"/>
      <c r="J4" s="124" t="str">
        <f>"MAX SCORE  |  "&amp;MAX(RiskRegister[Residual Score (L×I)])&amp;" / 25"</f>
        <v>MAX SCORE  |  20 / 25</v>
      </c>
      <c r="K4" s="124"/>
      <c r="L4" s="124"/>
    </row>
    <row r="5" spans="1:12" ht="23" customHeight="1" x14ac:dyDescent="0.35">
      <c r="A5" s="115" t="str">
        <f>"The residual risk profile requires focused management attention: "&amp;COUNTIF(RiskRegister[Risk Zone],"Red — Critical")&amp;" critical and "&amp;COUNTIF(RiskRegister[Risk Zone],"Amber — High")&amp;" high risks remain, while "&amp;COUNTIF(RiskRegister[Control Effectiveness (Strong/Adequate/Weak)],"Weak")&amp;" controls are rated Weak. Liquidity mismatch and illiquid-asset valuation are the highest exposures at "&amp;MAX(RiskRegister[Residual Score (L×I)])&amp;"/25. The analysis prioritises liquidity capacity, valuation independence, business continuity testing, counterparty resilience and key-person succession, with progress tracked against named owners and deadlines."</f>
        <v>The residual risk profile requires focused management attention: 4 critical and 4 high risks remain, while 5 controls are rated Weak. Liquidity mismatch and illiquid-asset valuation are the highest exposures at 20/25. The analysis prioritises liquidity capacity, valuation independence, business continuity testing, counterparty resilience and key-person succession, with progress tracked against named owners and deadlines.</v>
      </c>
      <c r="B5" s="115"/>
      <c r="C5" s="115"/>
      <c r="D5" s="115"/>
      <c r="E5" s="115"/>
      <c r="F5" s="115"/>
      <c r="G5" s="115"/>
      <c r="H5" s="115"/>
      <c r="I5" s="115"/>
      <c r="J5" s="115"/>
      <c r="K5" s="115"/>
      <c r="L5" s="115"/>
    </row>
    <row r="6" spans="1:12" ht="23" customHeight="1" x14ac:dyDescent="0.35">
      <c r="A6" s="115"/>
      <c r="B6" s="115"/>
      <c r="C6" s="115"/>
      <c r="D6" s="115"/>
      <c r="E6" s="115"/>
      <c r="F6" s="115"/>
      <c r="G6" s="115"/>
      <c r="H6" s="115"/>
      <c r="I6" s="115"/>
      <c r="J6" s="115"/>
      <c r="K6" s="115"/>
      <c r="L6" s="115"/>
    </row>
    <row r="7" spans="1:12" ht="23" customHeight="1" x14ac:dyDescent="0.35">
      <c r="A7" s="115"/>
      <c r="B7" s="115"/>
      <c r="C7" s="115"/>
      <c r="D7" s="115"/>
      <c r="E7" s="115"/>
      <c r="F7" s="115"/>
      <c r="G7" s="115"/>
      <c r="H7" s="115"/>
      <c r="I7" s="115"/>
      <c r="J7" s="115"/>
      <c r="K7" s="115"/>
      <c r="L7" s="115"/>
    </row>
    <row r="8" spans="1:12" ht="8" customHeight="1" x14ac:dyDescent="0.35">
      <c r="A8" s="8"/>
      <c r="B8" s="8"/>
      <c r="C8" s="8"/>
      <c r="D8" s="8"/>
      <c r="E8" s="8"/>
      <c r="F8" s="8"/>
      <c r="G8" s="8"/>
      <c r="H8" s="8"/>
      <c r="I8" s="8"/>
      <c r="J8" s="8"/>
      <c r="K8" s="8"/>
      <c r="L8" s="8"/>
    </row>
    <row r="9" spans="1:12" ht="23" customHeight="1" x14ac:dyDescent="0.35">
      <c r="A9" s="69" t="s">
        <v>361</v>
      </c>
      <c r="B9" s="69"/>
      <c r="C9" s="69"/>
      <c r="D9" s="69"/>
      <c r="E9" s="69"/>
      <c r="F9" s="69"/>
      <c r="G9" s="69"/>
      <c r="H9" s="69"/>
      <c r="I9" s="69"/>
      <c r="J9" s="8"/>
      <c r="K9" s="69" t="s">
        <v>362</v>
      </c>
      <c r="L9" s="69"/>
    </row>
    <row r="10" spans="1:12" ht="32" customHeight="1" x14ac:dyDescent="0.35">
      <c r="A10" s="9" t="s">
        <v>363</v>
      </c>
      <c r="B10" s="9" t="s">
        <v>0</v>
      </c>
      <c r="C10" s="9" t="s">
        <v>364</v>
      </c>
      <c r="D10" s="9" t="s">
        <v>3</v>
      </c>
      <c r="E10" s="9" t="s">
        <v>365</v>
      </c>
      <c r="F10" s="9" t="s">
        <v>327</v>
      </c>
      <c r="G10" s="9" t="s">
        <v>366</v>
      </c>
      <c r="H10" s="9" t="s">
        <v>367</v>
      </c>
      <c r="I10" s="9" t="s">
        <v>342</v>
      </c>
      <c r="J10" s="8"/>
      <c r="K10" s="9" t="s">
        <v>327</v>
      </c>
      <c r="L10" s="9" t="s">
        <v>328</v>
      </c>
    </row>
    <row r="11" spans="1:12" ht="24" customHeight="1" x14ac:dyDescent="0.35">
      <c r="A11" s="43">
        <v>1</v>
      </c>
      <c r="B11" s="43" t="str" cm="1">
        <f t="array" ref="B11">INDEX(_xlfn.SORTBY(RiskRegister[Risk ID],RiskRegister[Residual Score (L×I)],-1,RiskRegister[Inherent Score (L×I)],-1,RiskRegister[Risk ID],1),A11)</f>
        <v>R007</v>
      </c>
      <c r="C11" s="44" t="str">
        <f>_xlfn.XLOOKUP($B11,RiskRegister[Risk ID],RiskRegister[Risk Title])</f>
        <v>Liquidity mismatch — investor redemptions vs illiquid assets</v>
      </c>
      <c r="D11" s="44" t="str">
        <f>_xlfn.XLOOKUP($B11,RiskRegister[Risk ID],RiskRegister[Category])</f>
        <v>Liquidity</v>
      </c>
      <c r="E11" s="45">
        <f>_xlfn.XLOOKUP($B11,RiskRegister[Risk ID],RiskRegister[Residual Score (L×I)])</f>
        <v>20</v>
      </c>
      <c r="F11" s="43" t="str">
        <f>_xlfn.XLOOKUP($B11,RiskRegister[Risk ID],RiskRegister[Risk Zone])</f>
        <v>Red — Critical</v>
      </c>
      <c r="G11" s="43" t="str">
        <f>_xlfn.XLOOKUP($B11,RiskRegister[Risk ID],RiskRegister[Control Effectiveness (Strong/Adequate/Weak)])</f>
        <v>Weak</v>
      </c>
      <c r="H11" s="43" t="str">
        <f>_xlfn.XLOOKUP($B11,RiskRegister[Risk ID],RiskRegister[Risk Owner])</f>
        <v>Head of Fund Operations</v>
      </c>
      <c r="I11" s="43" t="str">
        <f>_xlfn.XLOOKUP($B11,RiskRegister[Risk ID],RiskRegister[Remediation Priority])</f>
        <v>Critical</v>
      </c>
      <c r="J11" s="8"/>
      <c r="K11" s="46" t="s">
        <v>344</v>
      </c>
      <c r="L11" s="47">
        <f>COUNTIF(RiskRegister[Risk Zone],"Red — Critical")</f>
        <v>4</v>
      </c>
    </row>
    <row r="12" spans="1:12" ht="24" customHeight="1" x14ac:dyDescent="0.35">
      <c r="A12" s="48">
        <v>2</v>
      </c>
      <c r="B12" s="48" t="str" cm="1">
        <f t="array" ref="B12">INDEX(_xlfn.SORTBY(RiskRegister[Risk ID],RiskRegister[Residual Score (L×I)],-1,RiskRegister[Inherent Score (L×I)],-1,RiskRegister[Risk ID],1),A12)</f>
        <v>R010</v>
      </c>
      <c r="C12" s="49" t="str">
        <f>_xlfn.XLOOKUP($B12,RiskRegister[Risk ID],RiskRegister[Risk Title])</f>
        <v>Valuation error — illiquid assets (private credit and CLOs)</v>
      </c>
      <c r="D12" s="49" t="str">
        <f>_xlfn.XLOOKUP($B12,RiskRegister[Risk ID],RiskRegister[Category])</f>
        <v>Operational / Market</v>
      </c>
      <c r="E12" s="50">
        <f>_xlfn.XLOOKUP($B12,RiskRegister[Risk ID],RiskRegister[Residual Score (L×I)])</f>
        <v>20</v>
      </c>
      <c r="F12" s="48" t="str">
        <f>_xlfn.XLOOKUP($B12,RiskRegister[Risk ID],RiskRegister[Risk Zone])</f>
        <v>Red — Critical</v>
      </c>
      <c r="G12" s="48" t="str">
        <f>_xlfn.XLOOKUP($B12,RiskRegister[Risk ID],RiskRegister[Control Effectiveness (Strong/Adequate/Weak)])</f>
        <v>Weak</v>
      </c>
      <c r="H12" s="48" t="str">
        <f>_xlfn.XLOOKUP($B12,RiskRegister[Risk ID],RiskRegister[Risk Owner])</f>
        <v>Valuation Lead</v>
      </c>
      <c r="I12" s="48" t="str">
        <f>_xlfn.XLOOKUP($B12,RiskRegister[Risk ID],RiskRegister[Remediation Priority])</f>
        <v>Critical</v>
      </c>
      <c r="J12" s="8"/>
      <c r="K12" s="51" t="s">
        <v>346</v>
      </c>
      <c r="L12" s="52">
        <f>COUNTIF(RiskRegister[Risk Zone],"Amber — High")</f>
        <v>4</v>
      </c>
    </row>
    <row r="13" spans="1:12" ht="24" customHeight="1" x14ac:dyDescent="0.35">
      <c r="A13" s="43">
        <v>3</v>
      </c>
      <c r="B13" s="43" t="str" cm="1">
        <f t="array" ref="B13">INDEX(_xlfn.SORTBY(RiskRegister[Risk ID],RiskRegister[Residual Score (L×I)],-1,RiskRegister[Inherent Score (L×I)],-1,RiskRegister[Risk ID],1),A13)</f>
        <v>R005</v>
      </c>
      <c r="C13" s="44" t="str">
        <f>_xlfn.XLOOKUP($B13,RiskRegister[Risk ID],RiskRegister[Risk Title])</f>
        <v>Equity market downturn — systemic shock</v>
      </c>
      <c r="D13" s="44" t="str">
        <f>_xlfn.XLOOKUP($B13,RiskRegister[Risk ID],RiskRegister[Category])</f>
        <v>Market</v>
      </c>
      <c r="E13" s="45">
        <f>_xlfn.XLOOKUP($B13,RiskRegister[Risk ID],RiskRegister[Residual Score (L×I)])</f>
        <v>15</v>
      </c>
      <c r="F13" s="43" t="str">
        <f>_xlfn.XLOOKUP($B13,RiskRegister[Risk ID],RiskRegister[Risk Zone])</f>
        <v>Red — Critical</v>
      </c>
      <c r="G13" s="43" t="str">
        <f>_xlfn.XLOOKUP($B13,RiskRegister[Risk ID],RiskRegister[Control Effectiveness (Strong/Adequate/Weak)])</f>
        <v>Adequate</v>
      </c>
      <c r="H13" s="43" t="str">
        <f>_xlfn.XLOOKUP($B13,RiskRegister[Risk ID],RiskRegister[Risk Owner])</f>
        <v>Head of Portfolio</v>
      </c>
      <c r="I13" s="43" t="str">
        <f>_xlfn.XLOOKUP($B13,RiskRegister[Risk ID],RiskRegister[Remediation Priority])</f>
        <v>High</v>
      </c>
      <c r="J13" s="8"/>
      <c r="K13" s="53" t="s">
        <v>349</v>
      </c>
      <c r="L13" s="54">
        <f>COUNTIF(RiskRegister[Risk Zone],"Yellow — Moderate")</f>
        <v>17</v>
      </c>
    </row>
    <row r="14" spans="1:12" ht="24" customHeight="1" x14ac:dyDescent="0.35">
      <c r="A14" s="48">
        <v>4</v>
      </c>
      <c r="B14" s="48" t="str" cm="1">
        <f t="array" ref="B14">INDEX(_xlfn.SORTBY(RiskRegister[Risk ID],RiskRegister[Residual Score (L×I)],-1,RiskRegister[Inherent Score (L×I)],-1,RiskRegister[Risk ID],1),A14)</f>
        <v>R028</v>
      </c>
      <c r="C14" s="49" t="str">
        <f>_xlfn.XLOOKUP($B14,RiskRegister[Risk ID],RiskRegister[Risk Title])</f>
        <v>Business continuity plan (BCP) failure</v>
      </c>
      <c r="D14" s="49" t="str">
        <f>_xlfn.XLOOKUP($B14,RiskRegister[Risk ID],RiskRegister[Category])</f>
        <v>Operational / BCP</v>
      </c>
      <c r="E14" s="50">
        <f>_xlfn.XLOOKUP($B14,RiskRegister[Risk ID],RiskRegister[Residual Score (L×I)])</f>
        <v>15</v>
      </c>
      <c r="F14" s="48" t="str">
        <f>_xlfn.XLOOKUP($B14,RiskRegister[Risk ID],RiskRegister[Risk Zone])</f>
        <v>Red — Critical</v>
      </c>
      <c r="G14" s="48" t="str">
        <f>_xlfn.XLOOKUP($B14,RiskRegister[Risk ID],RiskRegister[Control Effectiveness (Strong/Adequate/Weak)])</f>
        <v>Weak</v>
      </c>
      <c r="H14" s="48" t="str">
        <f>_xlfn.XLOOKUP($B14,RiskRegister[Risk ID],RiskRegister[Risk Owner])</f>
        <v>Head of Operations</v>
      </c>
      <c r="I14" s="48" t="str">
        <f>_xlfn.XLOOKUP($B14,RiskRegister[Risk ID],RiskRegister[Remediation Priority])</f>
        <v>High</v>
      </c>
      <c r="J14" s="8"/>
      <c r="K14" s="55" t="s">
        <v>352</v>
      </c>
      <c r="L14" s="56">
        <f>COUNTIF(RiskRegister[Risk Zone],"Green — Low")</f>
        <v>5</v>
      </c>
    </row>
    <row r="15" spans="1:12" ht="31" customHeight="1" x14ac:dyDescent="0.35">
      <c r="A15" s="43">
        <v>5</v>
      </c>
      <c r="B15" s="43" t="str" cm="1">
        <f t="array" ref="B15">INDEX(_xlfn.SORTBY(RiskRegister[Risk ID],RiskRegister[Residual Score (L×I)],-1,RiskRegister[Inherent Score (L×I)],-1,RiskRegister[Risk ID],1),A15)</f>
        <v>R001</v>
      </c>
      <c r="C15" s="44" t="str">
        <f>_xlfn.XLOOKUP($B15,RiskRegister[Risk ID],RiskRegister[Risk Title])</f>
        <v>Counterparty credit default — private credit borrowers</v>
      </c>
      <c r="D15" s="44" t="str">
        <f>_xlfn.XLOOKUP($B15,RiskRegister[Risk ID],RiskRegister[Category])</f>
        <v>Credit</v>
      </c>
      <c r="E15" s="45">
        <f>_xlfn.XLOOKUP($B15,RiskRegister[Risk ID],RiskRegister[Residual Score (L×I)])</f>
        <v>12</v>
      </c>
      <c r="F15" s="43" t="str">
        <f>_xlfn.XLOOKUP($B15,RiskRegister[Risk ID],RiskRegister[Risk Zone])</f>
        <v>Amber — High</v>
      </c>
      <c r="G15" s="43" t="str">
        <f>_xlfn.XLOOKUP($B15,RiskRegister[Risk ID],RiskRegister[Control Effectiveness (Strong/Adequate/Weak)])</f>
        <v>Adequate</v>
      </c>
      <c r="H15" s="43" t="str">
        <f>_xlfn.XLOOKUP($B15,RiskRegister[Risk ID],RiskRegister[Risk Owner])</f>
        <v>Portfolio Manager</v>
      </c>
      <c r="I15" s="43" t="str">
        <f>_xlfn.XLOOKUP($B15,RiskRegister[Risk ID],RiskRegister[Remediation Priority])</f>
        <v>Medium</v>
      </c>
      <c r="J15" s="8"/>
      <c r="K15" s="69" t="s">
        <v>368</v>
      </c>
      <c r="L15" s="126"/>
    </row>
    <row r="16" spans="1:12" ht="31" customHeight="1" x14ac:dyDescent="0.35">
      <c r="A16" s="48">
        <v>6</v>
      </c>
      <c r="B16" s="48" t="str" cm="1">
        <f t="array" ref="B16">INDEX(_xlfn.SORTBY(RiskRegister[Risk ID],RiskRegister[Residual Score (L×I)],-1,RiskRegister[Inherent Score (L×I)],-1,RiskRegister[Risk ID],1),A16)</f>
        <v>R004</v>
      </c>
      <c r="C16" s="49" t="str">
        <f>_xlfn.XLOOKUP($B16,RiskRegister[Risk ID],RiskRegister[Risk Title])</f>
        <v>Concentration risk — single issuer or top-10 holdings</v>
      </c>
      <c r="D16" s="49" t="str">
        <f>_xlfn.XLOOKUP($B16,RiskRegister[Risk ID],RiskRegister[Category])</f>
        <v>Market / Concentration</v>
      </c>
      <c r="E16" s="50">
        <f>_xlfn.XLOOKUP($B16,RiskRegister[Risk ID],RiskRegister[Residual Score (L×I)])</f>
        <v>12</v>
      </c>
      <c r="F16" s="48" t="str">
        <f>_xlfn.XLOOKUP($B16,RiskRegister[Risk ID],RiskRegister[Risk Zone])</f>
        <v>Amber — High</v>
      </c>
      <c r="G16" s="48" t="str">
        <f>_xlfn.XLOOKUP($B16,RiskRegister[Risk ID],RiskRegister[Control Effectiveness (Strong/Adequate/Weak)])</f>
        <v>Adequate</v>
      </c>
      <c r="H16" s="48" t="str">
        <f>_xlfn.XLOOKUP($B16,RiskRegister[Risk ID],RiskRegister[Risk Owner])</f>
        <v>Portfolio Manager</v>
      </c>
      <c r="I16" s="48" t="str">
        <f>_xlfn.XLOOKUP($B16,RiskRegister[Risk ID],RiskRegister[Remediation Priority])</f>
        <v>Medium</v>
      </c>
      <c r="J16" s="8"/>
      <c r="K16" s="9" t="s">
        <v>369</v>
      </c>
      <c r="L16" s="9" t="s">
        <v>328</v>
      </c>
    </row>
    <row r="17" spans="1:12" ht="24" customHeight="1" x14ac:dyDescent="0.35">
      <c r="A17" s="43">
        <v>7</v>
      </c>
      <c r="B17" s="43" t="str" cm="1">
        <f t="array" ref="B17">INDEX(_xlfn.SORTBY(RiskRegister[Risk ID],RiskRegister[Residual Score (L×I)],-1,RiskRegister[Inherent Score (L×I)],-1,RiskRegister[Risk ID],1),A17)</f>
        <v>R014</v>
      </c>
      <c r="C17" s="44" t="str">
        <f>_xlfn.XLOOKUP($B17,RiskRegister[Risk ID],RiskRegister[Risk Title])</f>
        <v>Counterparty concentration — single custodian and prime broker</v>
      </c>
      <c r="D17" s="44" t="str">
        <f>_xlfn.XLOOKUP($B17,RiskRegister[Risk ID],RiskRegister[Category])</f>
        <v>Credit / Operational</v>
      </c>
      <c r="E17" s="45">
        <f>_xlfn.XLOOKUP($B17,RiskRegister[Risk ID],RiskRegister[Residual Score (L×I)])</f>
        <v>12</v>
      </c>
      <c r="F17" s="43" t="str">
        <f>_xlfn.XLOOKUP($B17,RiskRegister[Risk ID],RiskRegister[Risk Zone])</f>
        <v>Amber — High</v>
      </c>
      <c r="G17" s="43" t="str">
        <f>_xlfn.XLOOKUP($B17,RiskRegister[Risk ID],RiskRegister[Control Effectiveness (Strong/Adequate/Weak)])</f>
        <v>Weak</v>
      </c>
      <c r="H17" s="43" t="str">
        <f>_xlfn.XLOOKUP($B17,RiskRegister[Risk ID],RiskRegister[Risk Owner])</f>
        <v>CFO</v>
      </c>
      <c r="I17" s="43" t="str">
        <f>_xlfn.XLOOKUP($B17,RiskRegister[Risk ID],RiskRegister[Remediation Priority])</f>
        <v>Medium</v>
      </c>
      <c r="J17" s="8"/>
      <c r="K17" s="46" t="s">
        <v>75</v>
      </c>
      <c r="L17" s="47">
        <f>COUNTIF(RiskRegister[Control Effectiveness (Strong/Adequate/Weak)],K17)</f>
        <v>5</v>
      </c>
    </row>
    <row r="18" spans="1:12" ht="24" customHeight="1" x14ac:dyDescent="0.35">
      <c r="A18" s="48">
        <v>8</v>
      </c>
      <c r="B18" s="48" t="str" cm="1">
        <f t="array" ref="B18">INDEX(_xlfn.SORTBY(RiskRegister[Risk ID],RiskRegister[Residual Score (L×I)],-1,RiskRegister[Inherent Score (L×I)],-1,RiskRegister[Risk ID],1),A18)</f>
        <v>R017</v>
      </c>
      <c r="C18" s="49" t="str">
        <f>_xlfn.XLOOKUP($B18,RiskRegister[Risk ID],RiskRegister[Risk Title])</f>
        <v>Key-person dependency — operational staff</v>
      </c>
      <c r="D18" s="49" t="str">
        <f>_xlfn.XLOOKUP($B18,RiskRegister[Risk ID],RiskRegister[Category])</f>
        <v>Operational / HR</v>
      </c>
      <c r="E18" s="50">
        <f>_xlfn.XLOOKUP($B18,RiskRegister[Risk ID],RiskRegister[Residual Score (L×I)])</f>
        <v>12</v>
      </c>
      <c r="F18" s="48" t="str">
        <f>_xlfn.XLOOKUP($B18,RiskRegister[Risk ID],RiskRegister[Risk Zone])</f>
        <v>Amber — High</v>
      </c>
      <c r="G18" s="48" t="str">
        <f>_xlfn.XLOOKUP($B18,RiskRegister[Risk ID],RiskRegister[Control Effectiveness (Strong/Adequate/Weak)])</f>
        <v>Weak</v>
      </c>
      <c r="H18" s="48" t="str">
        <f>_xlfn.XLOOKUP($B18,RiskRegister[Risk ID],RiskRegister[Risk Owner])</f>
        <v>Head of HR</v>
      </c>
      <c r="I18" s="48" t="str">
        <f>_xlfn.XLOOKUP($B18,RiskRegister[Risk ID],RiskRegister[Remediation Priority])</f>
        <v>Medium</v>
      </c>
      <c r="J18" s="8"/>
      <c r="K18" s="53" t="s">
        <v>24</v>
      </c>
      <c r="L18" s="54">
        <f>COUNTIF(RiskRegister[Control Effectiveness (Strong/Adequate/Weak)],K18)</f>
        <v>23</v>
      </c>
    </row>
    <row r="19" spans="1:12" ht="24" customHeight="1" x14ac:dyDescent="0.35">
      <c r="A19" s="43">
        <v>9</v>
      </c>
      <c r="B19" s="43" t="str" cm="1">
        <f t="array" ref="B19">INDEX(_xlfn.SORTBY(RiskRegister[Risk ID],RiskRegister[Residual Score (L×I)],-1,RiskRegister[Inherent Score (L×I)],-1,RiskRegister[Risk ID],1),A19)</f>
        <v>R016</v>
      </c>
      <c r="C19" s="44" t="str">
        <f>_xlfn.XLOOKUP($B19,RiskRegister[Risk ID],RiskRegister[Risk Title])</f>
        <v>AML / KYC failure — investor onboarding and monitoring</v>
      </c>
      <c r="D19" s="44" t="str">
        <f>_xlfn.XLOOKUP($B19,RiskRegister[Risk ID],RiskRegister[Category])</f>
        <v>Compliance</v>
      </c>
      <c r="E19" s="45">
        <f>_xlfn.XLOOKUP($B19,RiskRegister[Risk ID],RiskRegister[Residual Score (L×I)])</f>
        <v>8</v>
      </c>
      <c r="F19" s="43" t="str">
        <f>_xlfn.XLOOKUP($B19,RiskRegister[Risk ID],RiskRegister[Risk Zone])</f>
        <v>Yellow — Moderate</v>
      </c>
      <c r="G19" s="43" t="str">
        <f>_xlfn.XLOOKUP($B19,RiskRegister[Risk ID],RiskRegister[Control Effectiveness (Strong/Adequate/Weak)])</f>
        <v>Adequate</v>
      </c>
      <c r="H19" s="43" t="str">
        <f>_xlfn.XLOOKUP($B19,RiskRegister[Risk ID],RiskRegister[Risk Owner])</f>
        <v>Head of KYC / Compliance</v>
      </c>
      <c r="I19" s="43" t="str">
        <f>_xlfn.XLOOKUP($B19,RiskRegister[Risk ID],RiskRegister[Remediation Priority])</f>
        <v>Low</v>
      </c>
      <c r="J19" s="8"/>
      <c r="K19" s="55" t="s">
        <v>43</v>
      </c>
      <c r="L19" s="56">
        <f>COUNTIF(RiskRegister[Control Effectiveness (Strong/Adequate/Weak)],K19)</f>
        <v>2</v>
      </c>
    </row>
    <row r="20" spans="1:12" ht="31" customHeight="1" x14ac:dyDescent="0.35">
      <c r="A20" s="48">
        <v>10</v>
      </c>
      <c r="B20" s="48" t="str" cm="1">
        <f t="array" ref="B20">INDEX(_xlfn.SORTBY(RiskRegister[Risk ID],RiskRegister[Residual Score (L×I)],-1,RiskRegister[Inherent Score (L×I)],-1,RiskRegister[Risk ID],1),A20)</f>
        <v>R018</v>
      </c>
      <c r="C20" s="49" t="str">
        <f>_xlfn.XLOOKUP($B20,RiskRegister[Risk ID],RiskRegister[Risk Title])</f>
        <v>IT outage or cyber incident</v>
      </c>
      <c r="D20" s="49" t="str">
        <f>_xlfn.XLOOKUP($B20,RiskRegister[Risk ID],RiskRegister[Category])</f>
        <v>Operational / Cyber</v>
      </c>
      <c r="E20" s="50">
        <f>_xlfn.XLOOKUP($B20,RiskRegister[Risk ID],RiskRegister[Residual Score (L×I)])</f>
        <v>8</v>
      </c>
      <c r="F20" s="48" t="str">
        <f>_xlfn.XLOOKUP($B20,RiskRegister[Risk ID],RiskRegister[Risk Zone])</f>
        <v>Yellow — Moderate</v>
      </c>
      <c r="G20" s="48" t="str">
        <f>_xlfn.XLOOKUP($B20,RiskRegister[Risk ID],RiskRegister[Control Effectiveness (Strong/Adequate/Weak)])</f>
        <v>Adequate</v>
      </c>
      <c r="H20" s="48" t="str">
        <f>_xlfn.XLOOKUP($B20,RiskRegister[Risk ID],RiskRegister[Risk Owner])</f>
        <v>IT Manager</v>
      </c>
      <c r="I20" s="48" t="str">
        <f>_xlfn.XLOOKUP($B20,RiskRegister[Risk ID],RiskRegister[Remediation Priority])</f>
        <v>Low</v>
      </c>
      <c r="J20" s="8"/>
      <c r="K20" s="8"/>
      <c r="L20" s="8"/>
    </row>
    <row r="21" spans="1:12" ht="22" customHeight="1" x14ac:dyDescent="0.35">
      <c r="A21" s="125" t="s">
        <v>486</v>
      </c>
      <c r="B21" s="125"/>
      <c r="C21" s="125"/>
      <c r="D21" s="125"/>
      <c r="E21" s="125"/>
      <c r="F21" s="125"/>
      <c r="G21" s="125"/>
      <c r="H21" s="125"/>
      <c r="I21" s="125"/>
      <c r="J21" s="8"/>
      <c r="K21" s="8"/>
      <c r="L21" s="8"/>
    </row>
    <row r="22" spans="1:12" ht="23" customHeight="1" x14ac:dyDescent="0.35">
      <c r="A22" s="69" t="s">
        <v>370</v>
      </c>
      <c r="B22" s="69"/>
      <c r="C22" s="69"/>
      <c r="D22" s="69"/>
      <c r="E22" s="69"/>
      <c r="F22" s="69"/>
      <c r="G22" s="69"/>
      <c r="H22" s="69"/>
      <c r="I22" s="69"/>
      <c r="J22" s="69"/>
      <c r="K22" s="69"/>
      <c r="L22" s="69"/>
    </row>
    <row r="23" spans="1:12" x14ac:dyDescent="0.35">
      <c r="A23" s="9" t="s">
        <v>0</v>
      </c>
      <c r="B23" s="9" t="s">
        <v>365</v>
      </c>
      <c r="C23" s="120" t="s">
        <v>371</v>
      </c>
      <c r="D23" s="120"/>
      <c r="E23" s="120"/>
      <c r="F23" s="120"/>
      <c r="G23" s="120"/>
      <c r="H23" s="120"/>
      <c r="I23" s="120" t="s">
        <v>367</v>
      </c>
      <c r="J23" s="120"/>
      <c r="K23" s="120" t="s">
        <v>372</v>
      </c>
      <c r="L23" s="120"/>
    </row>
    <row r="24" spans="1:12" ht="44" customHeight="1" x14ac:dyDescent="0.35">
      <c r="A24" s="48" t="str" cm="1">
        <f t="array" ref="A24">INDEX(_xlfn.SORTBY(_xlfn._xlws.FILTER(RiskRegister[Risk ID],RiskRegister[Risk Zone]="Red — Critical"),_xlfn._xlws.FILTER(RiskRegister[Residual Score (L×I)],RiskRegister[Risk Zone]="Red — Critical"),-1),1)</f>
        <v>R007</v>
      </c>
      <c r="B24" s="50">
        <f>_xlfn.XLOOKUP(A24,RiskRegister[Risk ID],RiskRegister[Residual Score (L×I)])</f>
        <v>20</v>
      </c>
      <c r="C24" s="127" t="str">
        <f>_xlfn.XLOOKUP(A24,RiskRegister[Risk ID],RiskRegister[Notes / Next Steps])</f>
        <v>Run weekly redemption stress scenarios immediately; secure committed credit facility or repo line; codify hard gate trigger thresholds; develop investor communication playbook</v>
      </c>
      <c r="D24" s="127"/>
      <c r="E24" s="127"/>
      <c r="F24" s="127"/>
      <c r="G24" s="127"/>
      <c r="H24" s="127"/>
      <c r="I24" s="128" t="str">
        <f>_xlfn.XLOOKUP(A24,RiskRegister[Risk ID],RiskRegister[Risk Owner])</f>
        <v>Head of Fund Operations</v>
      </c>
      <c r="J24" s="128"/>
      <c r="K24" s="128" t="str">
        <f>IF(A24="R028","≤30 days test / ≤60 closure",IF(_xlfn.XLOOKUP(A24,RiskRegister[Risk ID],RiskRegister[Remediation Priority])="Critical","Immediate / ≤30 days","≤60 days"))</f>
        <v>Immediate / ≤30 days</v>
      </c>
      <c r="L24" s="128"/>
    </row>
    <row r="25" spans="1:12" ht="44" customHeight="1" x14ac:dyDescent="0.35">
      <c r="A25" s="43" t="str" cm="1">
        <f t="array" ref="A25">INDEX(_xlfn.SORTBY(_xlfn._xlws.FILTER(RiskRegister[Risk ID],RiskRegister[Risk Zone]="Red — Critical"),_xlfn._xlws.FILTER(RiskRegister[Residual Score (L×I)],RiskRegister[Risk Zone]="Red — Critical"),-1),2)</f>
        <v>R010</v>
      </c>
      <c r="B25" s="45">
        <f>_xlfn.XLOOKUP(A25,RiskRegister[Risk ID],RiskRegister[Residual Score (L×I)])</f>
        <v>20</v>
      </c>
      <c r="C25" s="129" t="str">
        <f>_xlfn.XLOOKUP(A25,RiskRegister[Risk ID],RiskRegister[Notes / Next Steps])</f>
        <v>Engage independent valuers for top 20 illiquid positions monthly; tighten valuation committee documentation standards; increase frequency to monthly; adopt IPEV Guidelines as formal policy</v>
      </c>
      <c r="D25" s="129"/>
      <c r="E25" s="129"/>
      <c r="F25" s="129"/>
      <c r="G25" s="129"/>
      <c r="H25" s="129"/>
      <c r="I25" s="130" t="str">
        <f>_xlfn.XLOOKUP(A25,RiskRegister[Risk ID],RiskRegister[Risk Owner])</f>
        <v>Valuation Lead</v>
      </c>
      <c r="J25" s="130"/>
      <c r="K25" s="130" t="str">
        <f>IF(A25="R028","≤30 days test / ≤60 closure",IF(_xlfn.XLOOKUP(A25,RiskRegister[Risk ID],RiskRegister[Remediation Priority])="Critical","Immediate / ≤30 days","≤60 days"))</f>
        <v>Immediate / ≤30 days</v>
      </c>
      <c r="L25" s="130"/>
    </row>
    <row r="26" spans="1:12" ht="44" customHeight="1" x14ac:dyDescent="0.35">
      <c r="A26" s="48" t="str" cm="1">
        <f t="array" ref="A26">INDEX(_xlfn.SORTBY(_xlfn._xlws.FILTER(RiskRegister[Risk ID],RiskRegister[Risk Zone]="Red — Critical"),_xlfn._xlws.FILTER(RiskRegister[Residual Score (L×I)],RiskRegister[Risk Zone]="Red — Critical"),-1),3)</f>
        <v>R005</v>
      </c>
      <c r="B26" s="50">
        <f>_xlfn.XLOOKUP(A26,RiskRegister[Risk ID],RiskRegister[Residual Score (L×I)])</f>
        <v>15</v>
      </c>
      <c r="C26" s="127" t="str">
        <f>_xlfn.XLOOKUP(A26,RiskRegister[Risk ID],RiskRegister[Notes / Next Steps])</f>
        <v>Formalise forward hedging capacity constraints; test collateral impact of hedge positions under illiquidity; increase hedge review frequency</v>
      </c>
      <c r="D26" s="127"/>
      <c r="E26" s="127"/>
      <c r="F26" s="127"/>
      <c r="G26" s="127"/>
      <c r="H26" s="127"/>
      <c r="I26" s="128" t="str">
        <f>_xlfn.XLOOKUP(A26,RiskRegister[Risk ID],RiskRegister[Risk Owner])</f>
        <v>Head of Portfolio</v>
      </c>
      <c r="J26" s="128"/>
      <c r="K26" s="128" t="str">
        <f>IF(A26="R028","≤30 days test / ≤60 closure",IF(_xlfn.XLOOKUP(A26,RiskRegister[Risk ID],RiskRegister[Remediation Priority])="Critical","Immediate / ≤30 days","≤60 days"))</f>
        <v>≤60 days</v>
      </c>
      <c r="L26" s="128"/>
    </row>
    <row r="27" spans="1:12" ht="44" customHeight="1" x14ac:dyDescent="0.35">
      <c r="A27" s="43" t="str" cm="1">
        <f t="array" ref="A27">INDEX(_xlfn.SORTBY(_xlfn._xlws.FILTER(RiskRegister[Risk ID],RiskRegister[Risk Zone]="Red — Critical"),_xlfn._xlws.FILTER(RiskRegister[Residual Score (L×I)],RiskRegister[Risk Zone]="Red — Critical"),-1),4)</f>
        <v>R028</v>
      </c>
      <c r="B27" s="45">
        <f>_xlfn.XLOOKUP(A27,RiskRegister[Risk ID],RiskRegister[Residual Score (L×I)])</f>
        <v>15</v>
      </c>
      <c r="C27" s="129" t="str">
        <f>_xlfn.XLOOKUP(A27,RiskRegister[Risk ID],RiskRegister[Notes / Next Steps])</f>
        <v>Run full BCP simulation with third-party participation within 30 days; define and document RTOs and RPOs for all critical processes; include custodian and TA in annual BCP test; report findings to board</v>
      </c>
      <c r="D27" s="129"/>
      <c r="E27" s="129"/>
      <c r="F27" s="129"/>
      <c r="G27" s="129"/>
      <c r="H27" s="129"/>
      <c r="I27" s="130" t="str">
        <f>_xlfn.XLOOKUP(A27,RiskRegister[Risk ID],RiskRegister[Risk Owner])</f>
        <v>Head of Operations</v>
      </c>
      <c r="J27" s="130"/>
      <c r="K27" s="130" t="str">
        <f>IF(A27="R028","≤30 days test / ≤60 closure",IF(_xlfn.XLOOKUP(A27,RiskRegister[Risk ID],RiskRegister[Remediation Priority])="Critical","Immediate / ≤30 days","≤60 days"))</f>
        <v>≤30 days test / ≤60 closure</v>
      </c>
      <c r="L27" s="130"/>
    </row>
    <row r="28" spans="1:12" x14ac:dyDescent="0.35">
      <c r="A28" s="8"/>
      <c r="B28" s="8"/>
      <c r="C28" s="8"/>
      <c r="D28" s="8"/>
      <c r="E28" s="8"/>
      <c r="F28" s="8"/>
      <c r="G28" s="8"/>
      <c r="H28" s="8"/>
      <c r="I28" s="8"/>
      <c r="J28" s="8"/>
      <c r="K28" s="8"/>
      <c r="L28" s="8"/>
    </row>
    <row r="29" spans="1:12" ht="23" customHeight="1" x14ac:dyDescent="0.35">
      <c r="A29" s="69" t="s">
        <v>429</v>
      </c>
      <c r="B29" s="69"/>
      <c r="C29" s="69"/>
      <c r="D29" s="69"/>
      <c r="E29" s="69"/>
      <c r="F29" s="69"/>
      <c r="G29" s="69"/>
      <c r="H29" s="69"/>
      <c r="I29" s="69"/>
      <c r="J29" s="69"/>
      <c r="K29" s="69"/>
      <c r="L29" s="69"/>
    </row>
    <row r="30" spans="1:12" ht="23" customHeight="1" x14ac:dyDescent="0.35">
      <c r="A30" s="115" t="str">
        <f>"The control environment is broadly established but not yet sufficient for the highest-exposure risks: "&amp;COUNTIF(RiskRegister[Control Effectiveness (Strong/Adequate/Weak)],"Adequate")&amp;" controls are Adequate, only "&amp;COUNTIF(RiskRegister[Control Effectiveness (Strong/Adequate/Weak)],"Strong")&amp;" are Strong, and all "&amp;COUNTIF(RiskRegister[Control Effectiveness (Strong/Adequate/Weak)],"Weak")&amp;" Weak controls require formal uplift plans. The four critical-risk actions above warrant monthly management reporting and periodic independent challenge until residual exposure falls below the critical threshold."</f>
        <v>The control environment is broadly established but not yet sufficient for the highest-exposure risks: 23 controls are Adequate, only 2 are Strong, and all 5 Weak controls require formal uplift plans. The four critical-risk actions above warrant monthly management reporting and periodic independent challenge until residual exposure falls below the critical threshold.</v>
      </c>
      <c r="B30" s="115"/>
      <c r="C30" s="115"/>
      <c r="D30" s="115"/>
      <c r="E30" s="115"/>
      <c r="F30" s="115"/>
      <c r="G30" s="115"/>
      <c r="H30" s="115"/>
      <c r="I30" s="115"/>
      <c r="J30" s="115"/>
      <c r="K30" s="115"/>
      <c r="L30" s="115"/>
    </row>
    <row r="31" spans="1:12" ht="23" customHeight="1" x14ac:dyDescent="0.35">
      <c r="A31" s="115"/>
      <c r="B31" s="115"/>
      <c r="C31" s="115"/>
      <c r="D31" s="115"/>
      <c r="E31" s="115"/>
      <c r="F31" s="115"/>
      <c r="G31" s="115"/>
      <c r="H31" s="115"/>
      <c r="I31" s="115"/>
      <c r="J31" s="115"/>
      <c r="K31" s="115"/>
      <c r="L31" s="115"/>
    </row>
    <row r="32" spans="1:12" ht="23" customHeight="1" x14ac:dyDescent="0.35">
      <c r="A32" s="115"/>
      <c r="B32" s="115"/>
      <c r="C32" s="115"/>
      <c r="D32" s="115"/>
      <c r="E32" s="115"/>
      <c r="F32" s="115"/>
      <c r="G32" s="115"/>
      <c r="H32" s="115"/>
      <c r="I32" s="115"/>
      <c r="J32" s="115"/>
      <c r="K32" s="115"/>
      <c r="L32" s="115"/>
    </row>
    <row r="33" spans="1:12" ht="8" customHeight="1" x14ac:dyDescent="0.35">
      <c r="A33" s="8"/>
      <c r="B33" s="8"/>
      <c r="C33" s="8"/>
      <c r="D33" s="8"/>
      <c r="E33" s="8"/>
      <c r="F33" s="8"/>
      <c r="G33" s="8"/>
      <c r="H33" s="8"/>
      <c r="I33" s="8"/>
      <c r="J33" s="8"/>
      <c r="K33" s="8"/>
      <c r="L33" s="8"/>
    </row>
    <row r="34" spans="1:12" ht="22" customHeight="1" x14ac:dyDescent="0.35">
      <c r="A34" s="131" t="s">
        <v>731</v>
      </c>
      <c r="B34" s="131"/>
      <c r="C34" s="131"/>
      <c r="D34" s="131"/>
      <c r="E34" s="131"/>
      <c r="F34" s="131"/>
      <c r="G34" s="131"/>
      <c r="H34" s="131"/>
      <c r="I34" s="131"/>
      <c r="J34" s="131"/>
      <c r="K34" s="131"/>
      <c r="L34" s="131"/>
    </row>
  </sheetData>
  <mergeCells count="30">
    <mergeCell ref="A29:L29"/>
    <mergeCell ref="A30:L32"/>
    <mergeCell ref="A34:L34"/>
    <mergeCell ref="C26:H26"/>
    <mergeCell ref="I26:J26"/>
    <mergeCell ref="K26:L26"/>
    <mergeCell ref="C27:H27"/>
    <mergeCell ref="I27:J27"/>
    <mergeCell ref="K27:L27"/>
    <mergeCell ref="C24:H24"/>
    <mergeCell ref="I24:J24"/>
    <mergeCell ref="K24:L24"/>
    <mergeCell ref="C25:H25"/>
    <mergeCell ref="I25:J25"/>
    <mergeCell ref="K25:L25"/>
    <mergeCell ref="C23:H23"/>
    <mergeCell ref="I23:J23"/>
    <mergeCell ref="K23:L23"/>
    <mergeCell ref="A1:L1"/>
    <mergeCell ref="A2:L2"/>
    <mergeCell ref="A4:C4"/>
    <mergeCell ref="D4:F4"/>
    <mergeCell ref="G4:I4"/>
    <mergeCell ref="J4:L4"/>
    <mergeCell ref="A21:I21"/>
    <mergeCell ref="A5:L7"/>
    <mergeCell ref="A9:I9"/>
    <mergeCell ref="K9:L9"/>
    <mergeCell ref="K15:L15"/>
    <mergeCell ref="A22:L22"/>
  </mergeCells>
  <conditionalFormatting sqref="E11:E20">
    <cfRule type="expression" dxfId="6" priority="1">
      <formula>E11&gt;=15</formula>
    </cfRule>
    <cfRule type="expression" dxfId="5" priority="2">
      <formula>AND(E11&gt;=10,E11&lt;15)</formula>
    </cfRule>
    <cfRule type="expression" dxfId="4" priority="3">
      <formula>AND(E11&gt;=5,E11&lt;10)</formula>
    </cfRule>
    <cfRule type="expression" dxfId="3" priority="4">
      <formula>E11&lt;5</formula>
    </cfRule>
  </conditionalFormatting>
  <conditionalFormatting sqref="G11:G20">
    <cfRule type="expression" dxfId="2" priority="5">
      <formula>G11="Weak"</formula>
    </cfRule>
    <cfRule type="expression" dxfId="1" priority="6">
      <formula>G11="Adequate"</formula>
    </cfRule>
    <cfRule type="expression" dxfId="0" priority="7">
      <formula>G11="Strong"</formula>
    </cfRule>
  </conditionalFormatting>
  <pageMargins left="0.7" right="0.7" top="0.75" bottom="0.75" header="0.3" footer="0.3"/>
  <pageSetup scale="5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E4DE5-7C29-4908-B466-A9EDB2B09B5A}">
  <sheetPr>
    <tabColor rgb="FF70AD47"/>
  </sheetPr>
  <dimension ref="A1:F21"/>
  <sheetViews>
    <sheetView showGridLines="0" topLeftCell="A10" workbookViewId="0">
      <selection activeCell="A21" sqref="A21:F21"/>
    </sheetView>
  </sheetViews>
  <sheetFormatPr defaultRowHeight="14.5" x14ac:dyDescent="0.35"/>
  <cols>
    <col min="1" max="6" width="15.453125" customWidth="1"/>
  </cols>
  <sheetData>
    <row r="1" spans="1:6" ht="30" customHeight="1" x14ac:dyDescent="0.35">
      <c r="A1" s="97" t="s">
        <v>674</v>
      </c>
      <c r="B1" s="97"/>
      <c r="C1" s="97"/>
      <c r="D1" s="97"/>
      <c r="E1" s="97"/>
      <c r="F1" s="97"/>
    </row>
    <row r="2" spans="1:6" x14ac:dyDescent="0.35">
      <c r="A2" s="102" t="s">
        <v>675</v>
      </c>
      <c r="B2" s="102"/>
      <c r="C2" s="102"/>
      <c r="D2" s="102"/>
      <c r="E2" s="102"/>
      <c r="F2" s="102"/>
    </row>
    <row r="3" spans="1:6" x14ac:dyDescent="0.35">
      <c r="A3" s="7"/>
      <c r="B3" s="7"/>
      <c r="C3" s="7"/>
      <c r="D3" s="7"/>
      <c r="E3" s="7"/>
      <c r="F3" s="7"/>
    </row>
    <row r="4" spans="1:6" x14ac:dyDescent="0.35">
      <c r="A4" s="104" t="s">
        <v>676</v>
      </c>
      <c r="B4" s="104"/>
      <c r="C4" s="104" t="s">
        <v>261</v>
      </c>
      <c r="D4" s="104"/>
      <c r="E4" s="104" t="s">
        <v>677</v>
      </c>
      <c r="F4" s="104"/>
    </row>
    <row r="5" spans="1:6" ht="48" customHeight="1" x14ac:dyDescent="0.35">
      <c r="A5" s="132">
        <f>COUNTIF(RiskRegister[Risk Zone],"Red — Critical")</f>
        <v>4</v>
      </c>
      <c r="B5" s="132"/>
      <c r="C5" s="132">
        <f>COUNTIF(RiskRegister[Control Effectiveness (Strong/Adequate/Weak)],"Weak")</f>
        <v>5</v>
      </c>
      <c r="D5" s="132"/>
      <c r="E5" s="132" cm="1">
        <f t="array" ref="E5">SUMPRODUCT((ActionTracker[Status]&lt;&gt;"Complete")*(_xlfn.XLOOKUP(ActionTracker[Risk ID],RiskRegister[Risk ID],RiskRegister[Risk Zone])="Red — Critical"))</f>
        <v>5</v>
      </c>
      <c r="F5" s="132"/>
    </row>
    <row r="6" spans="1:6" x14ac:dyDescent="0.35">
      <c r="A6" s="7"/>
      <c r="B6" s="7"/>
      <c r="C6" s="7"/>
      <c r="D6" s="7"/>
      <c r="E6" s="7"/>
      <c r="F6" s="7"/>
    </row>
    <row r="7" spans="1:6" x14ac:dyDescent="0.35">
      <c r="A7" s="104" t="s">
        <v>678</v>
      </c>
      <c r="B7" s="104"/>
      <c r="C7" s="104" t="s">
        <v>679</v>
      </c>
      <c r="D7" s="104"/>
      <c r="E7" s="104" t="s">
        <v>680</v>
      </c>
      <c r="F7" s="104"/>
    </row>
    <row r="8" spans="1:6" ht="48" customHeight="1" x14ac:dyDescent="0.35">
      <c r="A8" s="132">
        <f ca="1">COUNTIFS(ActionTracker[Status],"&lt;&gt;Complete",ActionTracker[Due Date],"&lt;"&amp;TODAY())</f>
        <v>1</v>
      </c>
      <c r="B8" s="132"/>
      <c r="C8" s="132">
        <f>COUNTA(ControlTesting[Control ID])</f>
        <v>15</v>
      </c>
      <c r="D8" s="132"/>
      <c r="E8" s="132">
        <f>COUNTIF(ControlTesting[Status],"Open")</f>
        <v>8</v>
      </c>
      <c r="F8" s="132"/>
    </row>
    <row r="9" spans="1:6" x14ac:dyDescent="0.35">
      <c r="A9" s="7"/>
      <c r="B9" s="7"/>
      <c r="C9" s="7"/>
      <c r="D9" s="7"/>
      <c r="E9" s="7"/>
      <c r="F9" s="7"/>
    </row>
    <row r="10" spans="1:6" x14ac:dyDescent="0.35">
      <c r="A10" s="104" t="s">
        <v>681</v>
      </c>
      <c r="B10" s="104"/>
      <c r="C10" s="104"/>
      <c r="D10" s="104"/>
      <c r="E10" s="104"/>
      <c r="F10" s="104"/>
    </row>
    <row r="11" spans="1:6" x14ac:dyDescent="0.35">
      <c r="A11" s="103" t="str" cm="1">
        <f t="array" aca="1" ref="A11" ca="1">"The live profile remains concentrated in "&amp;COUNTIF(RiskRegister[Risk Zone],"Red — Critical")&amp;" critical risks and "&amp;COUNTIF(RiskRegister[Control Effectiveness (Strong/Adequate/Weak)],"Weak")&amp;" weak controls. "&amp;SUMPRODUCT((ActionTracker[Status]&lt;&gt;"Complete")*(_xlfn.XLOOKUP(ActionTracker[Risk ID],RiskRegister[Risk ID],RiskRegister[Risk Zone])="Red — Critical"))&amp;" critical-risk actions are still open or in progress, while "&amp;COUNTIFS(ActionTracker[Status],"&lt;&gt;Complete",ActionTracker[Due Date],"&lt;"&amp;TODAY())&amp;" action is overdue as at "&amp;TEXT(TODAY(),"d mmmm yyyy")&amp;". "&amp;COUNTA(ControlTesting[Control ID])&amp;" control tests have been logged; "&amp;COUNTIF(ControlTesting[Status],"Open")&amp;" open findings identify where documented controls still require evidence or remediation."</f>
        <v>The live profile remains concentrated in 4 critical risks and 5 weak controls. 5 critical-risk actions are still open or in progress, while 1 action is overdue as at 27 August 2026. 15 control tests have been logged; 8 open findings identify where documented controls still require evidence or remediation.</v>
      </c>
      <c r="B11" s="103"/>
      <c r="C11" s="103"/>
      <c r="D11" s="103"/>
      <c r="E11" s="103"/>
      <c r="F11" s="103"/>
    </row>
    <row r="12" spans="1:6" x14ac:dyDescent="0.35">
      <c r="A12" s="103"/>
      <c r="B12" s="103"/>
      <c r="C12" s="103"/>
      <c r="D12" s="103"/>
      <c r="E12" s="103"/>
      <c r="F12" s="103"/>
    </row>
    <row r="13" spans="1:6" x14ac:dyDescent="0.35">
      <c r="A13" s="103"/>
      <c r="B13" s="103"/>
      <c r="C13" s="103"/>
      <c r="D13" s="103"/>
      <c r="E13" s="103"/>
      <c r="F13" s="103"/>
    </row>
    <row r="14" spans="1:6" x14ac:dyDescent="0.35">
      <c r="A14" s="7"/>
      <c r="B14" s="7"/>
      <c r="C14" s="7"/>
      <c r="D14" s="7"/>
      <c r="E14" s="7"/>
      <c r="F14" s="7"/>
    </row>
    <row r="15" spans="1:6" x14ac:dyDescent="0.35">
      <c r="A15" s="104" t="s">
        <v>682</v>
      </c>
      <c r="B15" s="104"/>
      <c r="C15" s="104"/>
      <c r="D15" s="104"/>
      <c r="E15" s="104"/>
      <c r="F15" s="104"/>
    </row>
    <row r="16" spans="1:6" x14ac:dyDescent="0.35">
      <c r="A16" s="133" t="s">
        <v>683</v>
      </c>
      <c r="B16" s="133"/>
      <c r="C16" s="133"/>
      <c r="D16" s="133" t="s">
        <v>684</v>
      </c>
      <c r="E16" s="133"/>
      <c r="F16" s="133"/>
    </row>
    <row r="17" spans="1:6" x14ac:dyDescent="0.35">
      <c r="A17" s="67" t="s">
        <v>685</v>
      </c>
      <c r="B17" s="67"/>
      <c r="C17" s="67"/>
      <c r="D17" s="67" t="s">
        <v>686</v>
      </c>
      <c r="E17" s="67"/>
      <c r="F17" s="67"/>
    </row>
    <row r="18" spans="1:6" x14ac:dyDescent="0.35">
      <c r="A18" s="61" t="s">
        <v>687</v>
      </c>
      <c r="B18" s="61"/>
      <c r="C18" s="61"/>
      <c r="D18" s="61" t="s">
        <v>688</v>
      </c>
      <c r="E18" s="61"/>
      <c r="F18" s="61"/>
    </row>
    <row r="19" spans="1:6" x14ac:dyDescent="0.35">
      <c r="A19" s="94" t="s">
        <v>689</v>
      </c>
      <c r="B19" s="94"/>
      <c r="C19" s="94"/>
      <c r="D19" s="94" t="s">
        <v>690</v>
      </c>
      <c r="E19" s="94"/>
      <c r="F19" s="94"/>
    </row>
    <row r="20" spans="1:6" x14ac:dyDescent="0.35">
      <c r="A20" s="7"/>
      <c r="B20" s="7"/>
      <c r="C20" s="7"/>
      <c r="D20" s="7"/>
      <c r="E20" s="7"/>
      <c r="F20" s="7"/>
    </row>
    <row r="21" spans="1:6" ht="20" customHeight="1" x14ac:dyDescent="0.35">
      <c r="A21" s="101" t="s">
        <v>731</v>
      </c>
      <c r="B21" s="101"/>
      <c r="C21" s="101"/>
      <c r="D21" s="101"/>
      <c r="E21" s="101"/>
      <c r="F21" s="101"/>
    </row>
  </sheetData>
  <mergeCells count="26">
    <mergeCell ref="A18:C18"/>
    <mergeCell ref="D18:F18"/>
    <mergeCell ref="A19:C19"/>
    <mergeCell ref="D19:F19"/>
    <mergeCell ref="A21:F21"/>
    <mergeCell ref="A17:C17"/>
    <mergeCell ref="D17:F17"/>
    <mergeCell ref="A7:B7"/>
    <mergeCell ref="A8:B8"/>
    <mergeCell ref="C7:D7"/>
    <mergeCell ref="C8:D8"/>
    <mergeCell ref="E7:F7"/>
    <mergeCell ref="E8:F8"/>
    <mergeCell ref="A10:F10"/>
    <mergeCell ref="A11:F13"/>
    <mergeCell ref="A15:F15"/>
    <mergeCell ref="A16:C16"/>
    <mergeCell ref="D16:F16"/>
    <mergeCell ref="A1:F1"/>
    <mergeCell ref="A2:F2"/>
    <mergeCell ref="A4:B4"/>
    <mergeCell ref="A5:B5"/>
    <mergeCell ref="C4:D4"/>
    <mergeCell ref="C5:D5"/>
    <mergeCell ref="E4:F4"/>
    <mergeCell ref="E5:F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190AB-FA03-451B-9717-BA5E08689999}">
  <sheetPr>
    <tabColor rgb="FF5B9BD5"/>
  </sheetPr>
  <dimension ref="A1:G29"/>
  <sheetViews>
    <sheetView showGridLines="0" topLeftCell="A21" workbookViewId="0">
      <selection activeCell="A29" sqref="A29:G29"/>
    </sheetView>
  </sheetViews>
  <sheetFormatPr defaultRowHeight="14.5" x14ac:dyDescent="0.35"/>
  <cols>
    <col min="1" max="1" width="12.7265625" customWidth="1"/>
    <col min="2" max="2" width="11.81640625" customWidth="1"/>
    <col min="3" max="3" width="14.54296875" customWidth="1"/>
    <col min="4" max="4" width="20" customWidth="1"/>
    <col min="5" max="5" width="15.453125" customWidth="1"/>
    <col min="6" max="6" width="36.36328125" customWidth="1"/>
    <col min="7" max="7" width="13.6328125" customWidth="1"/>
  </cols>
  <sheetData>
    <row r="1" spans="1:7" ht="30" customHeight="1" x14ac:dyDescent="0.35">
      <c r="A1" s="97" t="s">
        <v>553</v>
      </c>
      <c r="B1" s="97"/>
      <c r="C1" s="97"/>
      <c r="D1" s="97"/>
      <c r="E1" s="97"/>
      <c r="F1" s="97"/>
      <c r="G1" s="97"/>
    </row>
    <row r="2" spans="1:7" x14ac:dyDescent="0.35">
      <c r="A2" s="102" t="s">
        <v>554</v>
      </c>
      <c r="B2" s="102"/>
      <c r="C2" s="102"/>
      <c r="D2" s="102"/>
      <c r="E2" s="102"/>
      <c r="F2" s="102"/>
      <c r="G2" s="102"/>
    </row>
    <row r="3" spans="1:7" x14ac:dyDescent="0.35">
      <c r="A3" s="7"/>
      <c r="B3" s="7"/>
      <c r="C3" s="7"/>
      <c r="D3" s="7"/>
      <c r="E3" s="7"/>
      <c r="F3" s="7"/>
      <c r="G3" s="7"/>
    </row>
    <row r="4" spans="1:7" x14ac:dyDescent="0.35">
      <c r="A4" s="104" t="s">
        <v>555</v>
      </c>
      <c r="B4" s="104"/>
      <c r="C4" s="104" t="s">
        <v>556</v>
      </c>
      <c r="D4" s="104"/>
      <c r="E4" s="104" t="s">
        <v>557</v>
      </c>
      <c r="F4" s="104"/>
      <c r="G4" s="104"/>
    </row>
    <row r="5" spans="1:7" ht="24" customHeight="1" x14ac:dyDescent="0.35">
      <c r="A5" s="132">
        <f>COUNTA(ControlTesting[Control ID])</f>
        <v>15</v>
      </c>
      <c r="B5" s="132"/>
      <c r="C5" s="132">
        <f>COUNTIF(ControlTesting[Status],"Open")</f>
        <v>8</v>
      </c>
      <c r="D5" s="132"/>
      <c r="E5" s="135">
        <f>COUNTIF(ControlTesting[Result],"Pass")/COUNTA(ControlTesting[Control ID])</f>
        <v>0.46666666666666667</v>
      </c>
      <c r="F5" s="132"/>
      <c r="G5" s="132"/>
    </row>
    <row r="6" spans="1:7" ht="24" customHeight="1" x14ac:dyDescent="0.35">
      <c r="A6" s="132"/>
      <c r="B6" s="132"/>
      <c r="C6" s="132"/>
      <c r="D6" s="132"/>
      <c r="E6" s="132"/>
      <c r="F6" s="132"/>
      <c r="G6" s="132"/>
    </row>
    <row r="7" spans="1:7" x14ac:dyDescent="0.35">
      <c r="A7" s="7"/>
      <c r="B7" s="7"/>
      <c r="C7" s="7"/>
      <c r="D7" s="7"/>
      <c r="E7" s="7"/>
      <c r="F7" s="7"/>
      <c r="G7" s="7"/>
    </row>
    <row r="8" spans="1:7" x14ac:dyDescent="0.35">
      <c r="A8" s="104" t="s">
        <v>558</v>
      </c>
      <c r="B8" s="104"/>
      <c r="C8" s="104"/>
      <c r="D8" s="104"/>
      <c r="E8" s="104"/>
      <c r="F8" s="104"/>
      <c r="G8" s="104"/>
    </row>
    <row r="9" spans="1:7" x14ac:dyDescent="0.35">
      <c r="A9" s="7" t="s">
        <v>559</v>
      </c>
      <c r="B9" s="7" t="s">
        <v>560</v>
      </c>
      <c r="C9" s="7" t="s">
        <v>561</v>
      </c>
      <c r="D9" s="7" t="s">
        <v>562</v>
      </c>
      <c r="E9" s="7" t="s">
        <v>563</v>
      </c>
      <c r="F9" s="7" t="s">
        <v>564</v>
      </c>
      <c r="G9" s="7" t="s">
        <v>378</v>
      </c>
    </row>
    <row r="10" spans="1:7" x14ac:dyDescent="0.35">
      <c r="A10" s="7" t="s">
        <v>565</v>
      </c>
      <c r="B10" s="7" t="s">
        <v>69</v>
      </c>
      <c r="C10" s="57">
        <v>46234</v>
      </c>
      <c r="D10" s="58" t="s">
        <v>566</v>
      </c>
      <c r="E10" s="58" t="s">
        <v>567</v>
      </c>
      <c r="F10" s="58" t="s">
        <v>568</v>
      </c>
      <c r="G10" s="7" t="s">
        <v>569</v>
      </c>
    </row>
    <row r="11" spans="1:7" ht="29" x14ac:dyDescent="0.35">
      <c r="A11" s="7" t="s">
        <v>570</v>
      </c>
      <c r="B11" s="7" t="s">
        <v>93</v>
      </c>
      <c r="C11" s="57">
        <v>46233</v>
      </c>
      <c r="D11" s="58" t="s">
        <v>571</v>
      </c>
      <c r="E11" s="58" t="s">
        <v>567</v>
      </c>
      <c r="F11" s="58" t="s">
        <v>572</v>
      </c>
      <c r="G11" s="7" t="s">
        <v>569</v>
      </c>
    </row>
    <row r="12" spans="1:7" x14ac:dyDescent="0.35">
      <c r="A12" s="7" t="s">
        <v>573</v>
      </c>
      <c r="B12" s="7" t="s">
        <v>238</v>
      </c>
      <c r="C12" s="57">
        <v>46232</v>
      </c>
      <c r="D12" s="58" t="s">
        <v>574</v>
      </c>
      <c r="E12" s="58" t="s">
        <v>575</v>
      </c>
      <c r="F12" s="58" t="s">
        <v>576</v>
      </c>
      <c r="G12" s="7" t="s">
        <v>569</v>
      </c>
    </row>
    <row r="13" spans="1:7" ht="29" x14ac:dyDescent="0.35">
      <c r="A13" s="7" t="s">
        <v>577</v>
      </c>
      <c r="B13" s="7" t="s">
        <v>124</v>
      </c>
      <c r="C13" s="57">
        <v>46231</v>
      </c>
      <c r="D13" s="58" t="s">
        <v>578</v>
      </c>
      <c r="E13" s="58" t="s">
        <v>575</v>
      </c>
      <c r="F13" s="58" t="s">
        <v>579</v>
      </c>
      <c r="G13" s="7" t="s">
        <v>569</v>
      </c>
    </row>
    <row r="14" spans="1:7" ht="29" x14ac:dyDescent="0.35">
      <c r="A14" s="7" t="s">
        <v>580</v>
      </c>
      <c r="B14" s="7" t="s">
        <v>148</v>
      </c>
      <c r="C14" s="57">
        <v>46228</v>
      </c>
      <c r="D14" s="58" t="s">
        <v>581</v>
      </c>
      <c r="E14" s="58" t="s">
        <v>567</v>
      </c>
      <c r="F14" s="58" t="s">
        <v>582</v>
      </c>
      <c r="G14" s="7" t="s">
        <v>569</v>
      </c>
    </row>
    <row r="15" spans="1:7" ht="29" x14ac:dyDescent="0.35">
      <c r="A15" s="7" t="s">
        <v>583</v>
      </c>
      <c r="B15" s="7" t="s">
        <v>53</v>
      </c>
      <c r="C15" s="57">
        <v>46227</v>
      </c>
      <c r="D15" s="58" t="s">
        <v>584</v>
      </c>
      <c r="E15" s="58" t="s">
        <v>585</v>
      </c>
      <c r="F15" s="58" t="s">
        <v>586</v>
      </c>
      <c r="G15" s="7" t="s">
        <v>587</v>
      </c>
    </row>
    <row r="16" spans="1:7" ht="29" x14ac:dyDescent="0.35">
      <c r="A16" s="7" t="s">
        <v>588</v>
      </c>
      <c r="B16" s="7" t="s">
        <v>139</v>
      </c>
      <c r="C16" s="57">
        <v>46226</v>
      </c>
      <c r="D16" s="58" t="s">
        <v>589</v>
      </c>
      <c r="E16" s="58" t="s">
        <v>585</v>
      </c>
      <c r="F16" s="58" t="s">
        <v>586</v>
      </c>
      <c r="G16" s="7" t="s">
        <v>587</v>
      </c>
    </row>
    <row r="17" spans="1:7" x14ac:dyDescent="0.35">
      <c r="A17" s="7" t="s">
        <v>590</v>
      </c>
      <c r="B17" s="7" t="s">
        <v>157</v>
      </c>
      <c r="C17" s="57">
        <v>46225</v>
      </c>
      <c r="D17" s="58" t="s">
        <v>591</v>
      </c>
      <c r="E17" s="58" t="s">
        <v>567</v>
      </c>
      <c r="F17" s="58" t="s">
        <v>592</v>
      </c>
      <c r="G17" s="7" t="s">
        <v>569</v>
      </c>
    </row>
    <row r="18" spans="1:7" ht="29" x14ac:dyDescent="0.35">
      <c r="A18" s="7" t="s">
        <v>593</v>
      </c>
      <c r="B18" s="7" t="s">
        <v>36</v>
      </c>
      <c r="C18" s="57">
        <v>46224</v>
      </c>
      <c r="D18" s="58" t="s">
        <v>594</v>
      </c>
      <c r="E18" s="58" t="s">
        <v>585</v>
      </c>
      <c r="F18" s="58" t="s">
        <v>586</v>
      </c>
      <c r="G18" s="7" t="s">
        <v>587</v>
      </c>
    </row>
    <row r="19" spans="1:7" x14ac:dyDescent="0.35">
      <c r="A19" s="7" t="s">
        <v>595</v>
      </c>
      <c r="B19" s="7" t="s">
        <v>101</v>
      </c>
      <c r="C19" s="57">
        <v>46221</v>
      </c>
      <c r="D19" s="58" t="s">
        <v>596</v>
      </c>
      <c r="E19" s="58" t="s">
        <v>585</v>
      </c>
      <c r="F19" s="58" t="s">
        <v>586</v>
      </c>
      <c r="G19" s="7" t="s">
        <v>587</v>
      </c>
    </row>
    <row r="20" spans="1:7" ht="29" x14ac:dyDescent="0.35">
      <c r="A20" s="7" t="s">
        <v>597</v>
      </c>
      <c r="B20" s="7" t="s">
        <v>116</v>
      </c>
      <c r="C20" s="57">
        <v>46220</v>
      </c>
      <c r="D20" s="58" t="s">
        <v>598</v>
      </c>
      <c r="E20" s="58" t="s">
        <v>567</v>
      </c>
      <c r="F20" s="58" t="s">
        <v>599</v>
      </c>
      <c r="G20" s="7" t="s">
        <v>569</v>
      </c>
    </row>
    <row r="21" spans="1:7" ht="29" x14ac:dyDescent="0.35">
      <c r="A21" s="7" t="s">
        <v>600</v>
      </c>
      <c r="B21" s="7" t="s">
        <v>165</v>
      </c>
      <c r="C21" s="57">
        <v>46219</v>
      </c>
      <c r="D21" s="58" t="s">
        <v>601</v>
      </c>
      <c r="E21" s="58" t="s">
        <v>585</v>
      </c>
      <c r="F21" s="58" t="s">
        <v>586</v>
      </c>
      <c r="G21" s="7" t="s">
        <v>587</v>
      </c>
    </row>
    <row r="22" spans="1:7" x14ac:dyDescent="0.35">
      <c r="A22" s="7" t="s">
        <v>602</v>
      </c>
      <c r="B22" s="7" t="s">
        <v>174</v>
      </c>
      <c r="C22" s="57">
        <v>46218</v>
      </c>
      <c r="D22" s="58" t="s">
        <v>603</v>
      </c>
      <c r="E22" s="58" t="s">
        <v>567</v>
      </c>
      <c r="F22" s="58" t="s">
        <v>604</v>
      </c>
      <c r="G22" s="7" t="s">
        <v>569</v>
      </c>
    </row>
    <row r="23" spans="1:7" x14ac:dyDescent="0.35">
      <c r="A23" s="7" t="s">
        <v>605</v>
      </c>
      <c r="B23" s="7" t="s">
        <v>213</v>
      </c>
      <c r="C23" s="57">
        <v>46217</v>
      </c>
      <c r="D23" s="58" t="s">
        <v>606</v>
      </c>
      <c r="E23" s="58" t="s">
        <v>585</v>
      </c>
      <c r="F23" s="58" t="s">
        <v>586</v>
      </c>
      <c r="G23" s="7" t="s">
        <v>587</v>
      </c>
    </row>
    <row r="24" spans="1:7" ht="29" x14ac:dyDescent="0.35">
      <c r="A24" s="7" t="s">
        <v>607</v>
      </c>
      <c r="B24" s="7" t="s">
        <v>251</v>
      </c>
      <c r="C24" s="57">
        <v>46216</v>
      </c>
      <c r="D24" s="58" t="s">
        <v>608</v>
      </c>
      <c r="E24" s="58" t="s">
        <v>585</v>
      </c>
      <c r="F24" s="58" t="s">
        <v>586</v>
      </c>
      <c r="G24" s="7" t="s">
        <v>587</v>
      </c>
    </row>
    <row r="25" spans="1:7" x14ac:dyDescent="0.35">
      <c r="A25" s="7"/>
      <c r="B25" s="7"/>
      <c r="C25" s="7"/>
      <c r="D25" s="7"/>
      <c r="E25" s="7"/>
      <c r="F25" s="7"/>
      <c r="G25" s="7"/>
    </row>
    <row r="26" spans="1:7" x14ac:dyDescent="0.35">
      <c r="A26" s="134" t="s">
        <v>609</v>
      </c>
      <c r="B26" s="134"/>
      <c r="C26" s="134"/>
      <c r="D26" s="134"/>
      <c r="E26" s="134"/>
      <c r="F26" s="134"/>
      <c r="G26" s="134"/>
    </row>
    <row r="27" spans="1:7" x14ac:dyDescent="0.35">
      <c r="A27" s="134"/>
      <c r="B27" s="134"/>
      <c r="C27" s="134"/>
      <c r="D27" s="134"/>
      <c r="E27" s="134"/>
      <c r="F27" s="134"/>
      <c r="G27" s="134"/>
    </row>
    <row r="28" spans="1:7" x14ac:dyDescent="0.35">
      <c r="A28" s="7"/>
      <c r="B28" s="7"/>
      <c r="C28" s="7"/>
      <c r="D28" s="7"/>
      <c r="E28" s="7"/>
      <c r="F28" s="7"/>
      <c r="G28" s="7"/>
    </row>
    <row r="29" spans="1:7" ht="20" customHeight="1" x14ac:dyDescent="0.35">
      <c r="A29" s="101" t="s">
        <v>731</v>
      </c>
      <c r="B29" s="101"/>
      <c r="C29" s="101"/>
      <c r="D29" s="101"/>
      <c r="E29" s="101"/>
      <c r="F29" s="101"/>
      <c r="G29" s="101"/>
    </row>
  </sheetData>
  <mergeCells count="11">
    <mergeCell ref="A8:G8"/>
    <mergeCell ref="A26:G27"/>
    <mergeCell ref="A29:G29"/>
    <mergeCell ref="A1:G1"/>
    <mergeCell ref="A2:G2"/>
    <mergeCell ref="A4:B4"/>
    <mergeCell ref="C4:D4"/>
    <mergeCell ref="E4:G4"/>
    <mergeCell ref="A5:B6"/>
    <mergeCell ref="C5:D6"/>
    <mergeCell ref="E5:G6"/>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E7850-47DE-43BC-B5E3-D07F9B875FB8}">
  <sheetPr>
    <tabColor rgb="FFED7D31"/>
  </sheetPr>
  <dimension ref="A1:G26"/>
  <sheetViews>
    <sheetView showGridLines="0" topLeftCell="A19" workbookViewId="0">
      <selection activeCell="A26" sqref="A26:G26"/>
    </sheetView>
  </sheetViews>
  <sheetFormatPr defaultRowHeight="14.5" x14ac:dyDescent="0.35"/>
  <cols>
    <col min="1" max="1" width="12.7265625" customWidth="1"/>
    <col min="2" max="2" width="10.90625" customWidth="1"/>
    <col min="3" max="3" width="36.36328125" customWidth="1"/>
    <col min="4" max="4" width="22.7265625" customWidth="1"/>
    <col min="5" max="6" width="15.453125" customWidth="1"/>
    <col min="7" max="7" width="29.08984375" customWidth="1"/>
  </cols>
  <sheetData>
    <row r="1" spans="1:7" ht="30" customHeight="1" x14ac:dyDescent="0.35">
      <c r="A1" s="97" t="s">
        <v>610</v>
      </c>
      <c r="B1" s="97"/>
      <c r="C1" s="97"/>
      <c r="D1" s="97"/>
      <c r="E1" s="97"/>
      <c r="F1" s="97"/>
      <c r="G1" s="97"/>
    </row>
    <row r="2" spans="1:7" x14ac:dyDescent="0.35">
      <c r="A2" s="102" t="s">
        <v>611</v>
      </c>
      <c r="B2" s="102"/>
      <c r="C2" s="102"/>
      <c r="D2" s="102"/>
      <c r="E2" s="102"/>
      <c r="F2" s="102"/>
      <c r="G2" s="102"/>
    </row>
    <row r="3" spans="1:7" x14ac:dyDescent="0.35">
      <c r="A3" s="7"/>
      <c r="B3" s="7"/>
      <c r="C3" s="7"/>
      <c r="D3" s="7"/>
      <c r="E3" s="7"/>
      <c r="F3" s="7"/>
      <c r="G3" s="7"/>
    </row>
    <row r="4" spans="1:7" x14ac:dyDescent="0.35">
      <c r="A4" s="104" t="s">
        <v>612</v>
      </c>
      <c r="B4" s="104"/>
      <c r="C4" s="104" t="s">
        <v>613</v>
      </c>
      <c r="D4" s="104"/>
      <c r="E4" s="104" t="s">
        <v>614</v>
      </c>
      <c r="F4" s="104"/>
      <c r="G4" s="104"/>
    </row>
    <row r="5" spans="1:7" ht="24" customHeight="1" x14ac:dyDescent="0.35">
      <c r="A5" s="132">
        <f>COUNTIF(ActionTracker[Status],"&lt;&gt;Complete")</f>
        <v>12</v>
      </c>
      <c r="B5" s="132"/>
      <c r="C5" s="132">
        <f ca="1">COUNTIFS(ActionTracker[Status],"&lt;&gt;Complete",ActionTracker[Due Date],"&lt;"&amp;TODAY())</f>
        <v>1</v>
      </c>
      <c r="D5" s="132"/>
      <c r="E5" s="132">
        <f>COUNTIF(ActionTracker[Status],"Complete")</f>
        <v>0</v>
      </c>
      <c r="F5" s="132"/>
      <c r="G5" s="132"/>
    </row>
    <row r="6" spans="1:7" ht="24" customHeight="1" x14ac:dyDescent="0.35">
      <c r="A6" s="132"/>
      <c r="B6" s="132"/>
      <c r="C6" s="132"/>
      <c r="D6" s="132"/>
      <c r="E6" s="132"/>
      <c r="F6" s="132"/>
      <c r="G6" s="132"/>
    </row>
    <row r="7" spans="1:7" x14ac:dyDescent="0.35">
      <c r="A7" s="7"/>
      <c r="B7" s="7"/>
      <c r="C7" s="7"/>
      <c r="D7" s="7"/>
      <c r="E7" s="7"/>
      <c r="F7" s="7"/>
      <c r="G7" s="7"/>
    </row>
    <row r="8" spans="1:7" x14ac:dyDescent="0.35">
      <c r="A8" s="104" t="s">
        <v>615</v>
      </c>
      <c r="B8" s="104"/>
      <c r="C8" s="104"/>
      <c r="D8" s="104"/>
      <c r="E8" s="104"/>
      <c r="F8" s="104"/>
      <c r="G8" s="104"/>
    </row>
    <row r="9" spans="1:7" x14ac:dyDescent="0.35">
      <c r="A9" s="7" t="s">
        <v>616</v>
      </c>
      <c r="B9" s="7" t="s">
        <v>0</v>
      </c>
      <c r="C9" s="7" t="s">
        <v>617</v>
      </c>
      <c r="D9" s="7" t="s">
        <v>367</v>
      </c>
      <c r="E9" s="7" t="s">
        <v>618</v>
      </c>
      <c r="F9" s="7" t="s">
        <v>378</v>
      </c>
      <c r="G9" s="7" t="s">
        <v>377</v>
      </c>
    </row>
    <row r="10" spans="1:7" ht="29" x14ac:dyDescent="0.35">
      <c r="A10" s="7" t="s">
        <v>619</v>
      </c>
      <c r="B10" s="7" t="s">
        <v>69</v>
      </c>
      <c r="C10" s="58" t="s">
        <v>620</v>
      </c>
      <c r="D10" s="58" t="s">
        <v>73</v>
      </c>
      <c r="E10" s="57">
        <v>46295</v>
      </c>
      <c r="F10" s="7" t="s">
        <v>621</v>
      </c>
      <c r="G10" s="58" t="s">
        <v>622</v>
      </c>
    </row>
    <row r="11" spans="1:7" ht="29" x14ac:dyDescent="0.35">
      <c r="A11" s="7" t="s">
        <v>623</v>
      </c>
      <c r="B11" s="7" t="s">
        <v>69</v>
      </c>
      <c r="C11" s="58" t="s">
        <v>624</v>
      </c>
      <c r="D11" s="58" t="s">
        <v>73</v>
      </c>
      <c r="E11" s="57">
        <v>46310</v>
      </c>
      <c r="F11" s="7" t="s">
        <v>569</v>
      </c>
      <c r="G11" s="58" t="s">
        <v>625</v>
      </c>
    </row>
    <row r="12" spans="1:7" ht="29" x14ac:dyDescent="0.35">
      <c r="A12" s="7" t="s">
        <v>626</v>
      </c>
      <c r="B12" s="7" t="s">
        <v>93</v>
      </c>
      <c r="C12" s="58" t="s">
        <v>627</v>
      </c>
      <c r="D12" s="58" t="s">
        <v>97</v>
      </c>
      <c r="E12" s="57">
        <v>46295</v>
      </c>
      <c r="F12" s="7" t="s">
        <v>621</v>
      </c>
      <c r="G12" s="58" t="s">
        <v>628</v>
      </c>
    </row>
    <row r="13" spans="1:7" ht="29" x14ac:dyDescent="0.35">
      <c r="A13" s="7" t="s">
        <v>629</v>
      </c>
      <c r="B13" s="7" t="s">
        <v>238</v>
      </c>
      <c r="C13" s="58" t="s">
        <v>630</v>
      </c>
      <c r="D13" s="58" t="s">
        <v>120</v>
      </c>
      <c r="E13" s="57">
        <v>46275</v>
      </c>
      <c r="F13" s="7" t="s">
        <v>621</v>
      </c>
      <c r="G13" s="58" t="s">
        <v>631</v>
      </c>
    </row>
    <row r="14" spans="1:7" ht="29" x14ac:dyDescent="0.35">
      <c r="A14" s="7" t="s">
        <v>632</v>
      </c>
      <c r="B14" s="7" t="s">
        <v>124</v>
      </c>
      <c r="C14" s="58" t="s">
        <v>633</v>
      </c>
      <c r="D14" s="58" t="s">
        <v>127</v>
      </c>
      <c r="E14" s="57">
        <v>46254</v>
      </c>
      <c r="F14" s="7" t="s">
        <v>569</v>
      </c>
      <c r="G14" s="58" t="s">
        <v>634</v>
      </c>
    </row>
    <row r="15" spans="1:7" ht="29" x14ac:dyDescent="0.35">
      <c r="A15" s="7" t="s">
        <v>635</v>
      </c>
      <c r="B15" s="7" t="s">
        <v>148</v>
      </c>
      <c r="C15" s="58" t="s">
        <v>636</v>
      </c>
      <c r="D15" s="58" t="s">
        <v>153</v>
      </c>
      <c r="E15" s="57">
        <v>46305</v>
      </c>
      <c r="F15" s="7" t="s">
        <v>621</v>
      </c>
      <c r="G15" s="58" t="s">
        <v>637</v>
      </c>
    </row>
    <row r="16" spans="1:7" ht="29" x14ac:dyDescent="0.35">
      <c r="A16" s="7" t="s">
        <v>638</v>
      </c>
      <c r="B16" s="7" t="s">
        <v>53</v>
      </c>
      <c r="C16" s="58" t="s">
        <v>639</v>
      </c>
      <c r="D16" s="58" t="s">
        <v>58</v>
      </c>
      <c r="E16" s="57">
        <v>46310</v>
      </c>
      <c r="F16" s="7" t="s">
        <v>569</v>
      </c>
      <c r="G16" s="58" t="s">
        <v>640</v>
      </c>
    </row>
    <row r="17" spans="1:7" ht="29" x14ac:dyDescent="0.35">
      <c r="A17" s="7" t="s">
        <v>641</v>
      </c>
      <c r="B17" s="7" t="s">
        <v>157</v>
      </c>
      <c r="C17" s="58" t="s">
        <v>642</v>
      </c>
      <c r="D17" s="58" t="s">
        <v>161</v>
      </c>
      <c r="E17" s="57">
        <v>46356</v>
      </c>
      <c r="F17" s="7" t="s">
        <v>569</v>
      </c>
      <c r="G17" s="58" t="s">
        <v>643</v>
      </c>
    </row>
    <row r="18" spans="1:7" ht="29" x14ac:dyDescent="0.35">
      <c r="A18" s="7" t="s">
        <v>644</v>
      </c>
      <c r="B18" s="7" t="s">
        <v>139</v>
      </c>
      <c r="C18" s="58" t="s">
        <v>645</v>
      </c>
      <c r="D18" s="58" t="s">
        <v>144</v>
      </c>
      <c r="E18" s="57">
        <v>46326</v>
      </c>
      <c r="F18" s="7" t="s">
        <v>621</v>
      </c>
      <c r="G18" s="58" t="s">
        <v>646</v>
      </c>
    </row>
    <row r="19" spans="1:7" x14ac:dyDescent="0.35">
      <c r="A19" s="7" t="s">
        <v>647</v>
      </c>
      <c r="B19" s="7" t="s">
        <v>116</v>
      </c>
      <c r="C19" s="58" t="s">
        <v>648</v>
      </c>
      <c r="D19" s="58" t="s">
        <v>120</v>
      </c>
      <c r="E19" s="57">
        <v>46341</v>
      </c>
      <c r="F19" s="7" t="s">
        <v>569</v>
      </c>
      <c r="G19" s="58" t="s">
        <v>649</v>
      </c>
    </row>
    <row r="20" spans="1:7" ht="29" x14ac:dyDescent="0.35">
      <c r="A20" s="7" t="s">
        <v>650</v>
      </c>
      <c r="B20" s="7" t="s">
        <v>174</v>
      </c>
      <c r="C20" s="58" t="s">
        <v>651</v>
      </c>
      <c r="D20" s="58" t="s">
        <v>120</v>
      </c>
      <c r="E20" s="57">
        <v>46295</v>
      </c>
      <c r="F20" s="7" t="s">
        <v>621</v>
      </c>
      <c r="G20" s="58" t="s">
        <v>652</v>
      </c>
    </row>
    <row r="21" spans="1:7" ht="29" x14ac:dyDescent="0.35">
      <c r="A21" s="7" t="s">
        <v>653</v>
      </c>
      <c r="B21" s="7" t="s">
        <v>46</v>
      </c>
      <c r="C21" s="58" t="s">
        <v>654</v>
      </c>
      <c r="D21" s="58" t="s">
        <v>22</v>
      </c>
      <c r="E21" s="57">
        <v>46371</v>
      </c>
      <c r="F21" s="7" t="s">
        <v>569</v>
      </c>
      <c r="G21" s="58" t="s">
        <v>655</v>
      </c>
    </row>
    <row r="22" spans="1:7" x14ac:dyDescent="0.35">
      <c r="A22" s="7"/>
      <c r="B22" s="7"/>
      <c r="C22" s="7"/>
      <c r="D22" s="7"/>
      <c r="E22" s="7"/>
      <c r="F22" s="7"/>
      <c r="G22" s="7"/>
    </row>
    <row r="23" spans="1:7" x14ac:dyDescent="0.35">
      <c r="A23" s="134" t="s">
        <v>656</v>
      </c>
      <c r="B23" s="134"/>
      <c r="C23" s="134"/>
      <c r="D23" s="134"/>
      <c r="E23" s="134"/>
      <c r="F23" s="134"/>
      <c r="G23" s="134"/>
    </row>
    <row r="24" spans="1:7" x14ac:dyDescent="0.35">
      <c r="A24" s="134"/>
      <c r="B24" s="134"/>
      <c r="C24" s="134"/>
      <c r="D24" s="134"/>
      <c r="E24" s="134"/>
      <c r="F24" s="134"/>
      <c r="G24" s="134"/>
    </row>
    <row r="25" spans="1:7" x14ac:dyDescent="0.35">
      <c r="A25" s="7"/>
      <c r="B25" s="7"/>
      <c r="C25" s="7"/>
      <c r="D25" s="7"/>
      <c r="E25" s="7"/>
      <c r="F25" s="7"/>
      <c r="G25" s="7"/>
    </row>
    <row r="26" spans="1:7" ht="20" customHeight="1" x14ac:dyDescent="0.35">
      <c r="A26" s="101" t="s">
        <v>732</v>
      </c>
      <c r="B26" s="101"/>
      <c r="C26" s="101"/>
      <c r="D26" s="101"/>
      <c r="E26" s="101"/>
      <c r="F26" s="101"/>
      <c r="G26" s="101"/>
    </row>
  </sheetData>
  <mergeCells count="11">
    <mergeCell ref="A8:G8"/>
    <mergeCell ref="A23:G24"/>
    <mergeCell ref="A26:G26"/>
    <mergeCell ref="A1:G1"/>
    <mergeCell ref="A2:G2"/>
    <mergeCell ref="A4:B4"/>
    <mergeCell ref="C4:D4"/>
    <mergeCell ref="E4:G4"/>
    <mergeCell ref="A5:B6"/>
    <mergeCell ref="C5:D6"/>
    <mergeCell ref="E5:G6"/>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9EFAC-F50B-4A18-8474-67841486EDA7}">
  <sheetPr>
    <tabColor rgb="FF70AD47"/>
  </sheetPr>
  <dimension ref="A1:C16"/>
  <sheetViews>
    <sheetView showGridLines="0" topLeftCell="A13" workbookViewId="0">
      <selection activeCell="A16" sqref="A16:C16"/>
    </sheetView>
  </sheetViews>
  <sheetFormatPr defaultRowHeight="14.5" x14ac:dyDescent="0.35"/>
  <cols>
    <col min="1" max="1" width="21.81640625" customWidth="1"/>
    <col min="2" max="3" width="36.36328125" customWidth="1"/>
  </cols>
  <sheetData>
    <row r="1" spans="1:3" ht="30" customHeight="1" x14ac:dyDescent="0.35">
      <c r="A1" s="97" t="s">
        <v>657</v>
      </c>
      <c r="B1" s="97"/>
      <c r="C1" s="97"/>
    </row>
    <row r="2" spans="1:3" x14ac:dyDescent="0.35">
      <c r="A2" s="102" t="s">
        <v>658</v>
      </c>
      <c r="B2" s="102"/>
      <c r="C2" s="102"/>
    </row>
    <row r="3" spans="1:3" x14ac:dyDescent="0.35">
      <c r="A3" s="7"/>
      <c r="B3" s="7"/>
      <c r="C3" s="7"/>
    </row>
    <row r="4" spans="1:3" x14ac:dyDescent="0.35">
      <c r="A4" s="103" t="s">
        <v>659</v>
      </c>
      <c r="B4" s="103"/>
      <c r="C4" s="103"/>
    </row>
    <row r="5" spans="1:3" x14ac:dyDescent="0.35">
      <c r="A5" s="103"/>
      <c r="B5" s="103"/>
      <c r="C5" s="103"/>
    </row>
    <row r="6" spans="1:3" x14ac:dyDescent="0.35">
      <c r="A6" s="7"/>
      <c r="B6" s="7"/>
      <c r="C6" s="7"/>
    </row>
    <row r="7" spans="1:3" x14ac:dyDescent="0.35">
      <c r="A7" s="104" t="s">
        <v>660</v>
      </c>
      <c r="B7" s="104"/>
      <c r="C7" s="104"/>
    </row>
    <row r="8" spans="1:3" x14ac:dyDescent="0.35">
      <c r="A8" s="7" t="s">
        <v>661</v>
      </c>
      <c r="B8" s="7" t="s">
        <v>662</v>
      </c>
      <c r="C8" s="7" t="s">
        <v>663</v>
      </c>
    </row>
    <row r="9" spans="1:3" ht="29" x14ac:dyDescent="0.35">
      <c r="A9" s="58" t="s">
        <v>664</v>
      </c>
      <c r="B9" s="58" t="s">
        <v>665</v>
      </c>
      <c r="C9" s="58" t="s">
        <v>666</v>
      </c>
    </row>
    <row r="10" spans="1:3" ht="29" x14ac:dyDescent="0.35">
      <c r="A10" s="58" t="s">
        <v>667</v>
      </c>
      <c r="B10" s="58" t="s">
        <v>668</v>
      </c>
      <c r="C10" s="58" t="s">
        <v>669</v>
      </c>
    </row>
    <row r="11" spans="1:3" ht="29" x14ac:dyDescent="0.35">
      <c r="A11" s="58" t="s">
        <v>670</v>
      </c>
      <c r="B11" s="58" t="s">
        <v>671</v>
      </c>
      <c r="C11" s="58" t="s">
        <v>672</v>
      </c>
    </row>
    <row r="12" spans="1:3" x14ac:dyDescent="0.35">
      <c r="A12" s="7"/>
      <c r="B12" s="7"/>
      <c r="C12" s="7"/>
    </row>
    <row r="13" spans="1:3" x14ac:dyDescent="0.35">
      <c r="A13" s="105" t="s">
        <v>673</v>
      </c>
      <c r="B13" s="105"/>
      <c r="C13" s="105"/>
    </row>
    <row r="14" spans="1:3" x14ac:dyDescent="0.35">
      <c r="A14" s="105"/>
      <c r="B14" s="105"/>
      <c r="C14" s="105"/>
    </row>
    <row r="15" spans="1:3" x14ac:dyDescent="0.35">
      <c r="A15" s="7"/>
      <c r="B15" s="7"/>
      <c r="C15" s="7"/>
    </row>
    <row r="16" spans="1:3" ht="20" customHeight="1" x14ac:dyDescent="0.35">
      <c r="A16" s="101" t="s">
        <v>732</v>
      </c>
      <c r="B16" s="101"/>
      <c r="C16" s="101"/>
    </row>
  </sheetData>
  <mergeCells count="6">
    <mergeCell ref="A16:C16"/>
    <mergeCell ref="A1:C1"/>
    <mergeCell ref="A2:C2"/>
    <mergeCell ref="A4:C5"/>
    <mergeCell ref="A7:C7"/>
    <mergeCell ref="A13:C14"/>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C4106-085E-43D6-8DF2-597D35624910}">
  <sheetPr>
    <tabColor rgb="FF17365D"/>
    <pageSetUpPr fitToPage="1"/>
  </sheetPr>
  <dimension ref="A1:L41"/>
  <sheetViews>
    <sheetView showGridLines="0" tabSelected="1" topLeftCell="A36" workbookViewId="0">
      <selection activeCell="D39" sqref="D39:H39"/>
    </sheetView>
  </sheetViews>
  <sheetFormatPr defaultRowHeight="14.5" x14ac:dyDescent="0.35"/>
  <cols>
    <col min="1" max="1" width="10" style="1" customWidth="1"/>
    <col min="2" max="3" width="10.90625" style="1" customWidth="1"/>
    <col min="4" max="8" width="11.81640625" style="1" customWidth="1"/>
    <col min="9" max="10" width="12.7265625" style="1" customWidth="1"/>
    <col min="11" max="12" width="10" style="1" customWidth="1"/>
    <col min="13" max="16384" width="8.7265625" style="1"/>
  </cols>
  <sheetData>
    <row r="1" spans="1:12" ht="48" customHeight="1" x14ac:dyDescent="0.35">
      <c r="A1" s="110" t="s">
        <v>438</v>
      </c>
      <c r="B1" s="110"/>
      <c r="C1" s="110"/>
      <c r="D1" s="110"/>
      <c r="E1" s="110"/>
      <c r="F1" s="110"/>
      <c r="G1" s="110"/>
      <c r="H1" s="110"/>
      <c r="I1" s="110"/>
      <c r="J1" s="110"/>
      <c r="K1" s="110"/>
      <c r="L1" s="110"/>
    </row>
    <row r="2" spans="1:12" ht="24" customHeight="1" x14ac:dyDescent="0.35">
      <c r="A2" s="75" t="s">
        <v>722</v>
      </c>
      <c r="B2" s="75"/>
      <c r="C2" s="75"/>
      <c r="D2" s="75"/>
      <c r="E2" s="75"/>
      <c r="F2" s="75"/>
      <c r="G2" s="75"/>
      <c r="H2" s="75"/>
      <c r="I2" s="75"/>
      <c r="J2" s="75"/>
      <c r="K2" s="75"/>
      <c r="L2" s="75"/>
    </row>
    <row r="3" spans="1:12" ht="8" customHeight="1" x14ac:dyDescent="0.35">
      <c r="A3" s="8"/>
      <c r="B3" s="8"/>
      <c r="C3" s="8"/>
      <c r="D3" s="8"/>
      <c r="E3" s="8"/>
      <c r="F3" s="8"/>
      <c r="G3" s="8"/>
      <c r="H3" s="8"/>
      <c r="I3" s="8"/>
      <c r="J3" s="8"/>
      <c r="K3" s="8"/>
      <c r="L3" s="8"/>
    </row>
    <row r="4" spans="1:12" ht="30" customHeight="1" x14ac:dyDescent="0.35">
      <c r="A4" s="137" t="str">
        <f>"CONTROLS  |  "&amp;(COUNTA(A10:A24)+COUNTA(A32:A39))</f>
        <v>CONTROLS  |  23</v>
      </c>
      <c r="B4" s="137"/>
      <c r="C4" s="137"/>
      <c r="D4" s="126" t="str">
        <f>"COMPLETE  |  "&amp;(COUNTIF(K10:K24,"Complete")+COUNTIF(K32:K39,"Complete"))</f>
        <v>COMPLETE  |  23</v>
      </c>
      <c r="E4" s="126"/>
      <c r="F4" s="126"/>
      <c r="G4" s="138" t="str">
        <f>"PENDING  |  "&amp;((COUNTA(A10:A24)+COUNTA(A32:A39))-(COUNTIF(K10:K24,"Complete")+COUNTIF(K32:K39,"Complete")))</f>
        <v>PENDING  |  0</v>
      </c>
      <c r="H4" s="138"/>
      <c r="I4" s="138"/>
      <c r="J4" s="114" t="str">
        <f>"READINESS  |  "&amp;TEXT((COUNTIF(K10:K24,"Complete")+COUNTIF(K32:K39,"Complete"))/(COUNTA(A10:A24)+COUNTA(A32:A39)),"0%")</f>
        <v>READINESS  |  100%</v>
      </c>
      <c r="K4" s="114"/>
      <c r="L4" s="114"/>
    </row>
    <row r="5" spans="1:12" ht="24" customHeight="1" x14ac:dyDescent="0.35">
      <c r="A5" s="115" t="s">
        <v>439</v>
      </c>
      <c r="B5" s="115"/>
      <c r="C5" s="115"/>
      <c r="D5" s="115"/>
      <c r="E5" s="115"/>
      <c r="F5" s="115"/>
      <c r="G5" s="115"/>
      <c r="H5" s="115"/>
      <c r="I5" s="115"/>
      <c r="J5" s="115"/>
      <c r="K5" s="115"/>
      <c r="L5" s="115"/>
    </row>
    <row r="6" spans="1:12" ht="24" customHeight="1" x14ac:dyDescent="0.35">
      <c r="A6" s="115"/>
      <c r="B6" s="115"/>
      <c r="C6" s="115"/>
      <c r="D6" s="115"/>
      <c r="E6" s="115"/>
      <c r="F6" s="115"/>
      <c r="G6" s="115"/>
      <c r="H6" s="115"/>
      <c r="I6" s="115"/>
      <c r="J6" s="115"/>
      <c r="K6" s="115"/>
      <c r="L6" s="115"/>
    </row>
    <row r="7" spans="1:12" ht="8" customHeight="1" x14ac:dyDescent="0.35">
      <c r="A7" s="8"/>
      <c r="B7" s="8"/>
      <c r="C7" s="8"/>
      <c r="D7" s="8"/>
      <c r="E7" s="8"/>
      <c r="F7" s="8"/>
      <c r="G7" s="8"/>
      <c r="H7" s="8"/>
      <c r="I7" s="8"/>
      <c r="J7" s="8"/>
      <c r="K7" s="8"/>
      <c r="L7" s="8"/>
    </row>
    <row r="8" spans="1:12" ht="23" customHeight="1" x14ac:dyDescent="0.35">
      <c r="A8" s="69" t="s">
        <v>373</v>
      </c>
      <c r="B8" s="69"/>
      <c r="C8" s="69"/>
      <c r="D8" s="69"/>
      <c r="E8" s="69"/>
      <c r="F8" s="69"/>
      <c r="G8" s="69"/>
      <c r="H8" s="69"/>
      <c r="I8" s="69"/>
      <c r="J8" s="69"/>
      <c r="K8" s="69"/>
      <c r="L8" s="69"/>
    </row>
    <row r="9" spans="1:12" x14ac:dyDescent="0.35">
      <c r="A9" s="59" t="s">
        <v>374</v>
      </c>
      <c r="B9" s="136" t="s">
        <v>375</v>
      </c>
      <c r="C9" s="136"/>
      <c r="D9" s="136" t="s">
        <v>376</v>
      </c>
      <c r="E9" s="136"/>
      <c r="F9" s="136"/>
      <c r="G9" s="136"/>
      <c r="H9" s="136"/>
      <c r="I9" s="136" t="s">
        <v>377</v>
      </c>
      <c r="J9" s="136"/>
      <c r="K9" s="136" t="s">
        <v>378</v>
      </c>
      <c r="L9" s="136"/>
    </row>
    <row r="10" spans="1:12" x14ac:dyDescent="0.35">
      <c r="A10" s="43" t="s">
        <v>379</v>
      </c>
      <c r="B10" s="129" t="s">
        <v>380</v>
      </c>
      <c r="C10" s="129"/>
      <c r="D10" s="129" t="s">
        <v>381</v>
      </c>
      <c r="E10" s="129"/>
      <c r="F10" s="129"/>
      <c r="G10" s="129"/>
      <c r="H10" s="129"/>
      <c r="I10" s="129" t="s">
        <v>723</v>
      </c>
      <c r="J10" s="129"/>
      <c r="K10" s="139" t="s">
        <v>382</v>
      </c>
      <c r="L10" s="139"/>
    </row>
    <row r="11" spans="1:12" x14ac:dyDescent="0.35">
      <c r="A11" s="48" t="s">
        <v>383</v>
      </c>
      <c r="B11" s="127" t="s">
        <v>384</v>
      </c>
      <c r="C11" s="127"/>
      <c r="D11" s="127" t="s">
        <v>385</v>
      </c>
      <c r="E11" s="127"/>
      <c r="F11" s="127"/>
      <c r="G11" s="127"/>
      <c r="H11" s="127"/>
      <c r="I11" s="127" t="s">
        <v>386</v>
      </c>
      <c r="J11" s="127"/>
      <c r="K11" s="139" t="s">
        <v>382</v>
      </c>
      <c r="L11" s="139"/>
    </row>
    <row r="12" spans="1:12" x14ac:dyDescent="0.35">
      <c r="A12" s="43" t="s">
        <v>387</v>
      </c>
      <c r="B12" s="129" t="s">
        <v>384</v>
      </c>
      <c r="C12" s="129"/>
      <c r="D12" s="129" t="s">
        <v>388</v>
      </c>
      <c r="E12" s="129"/>
      <c r="F12" s="129"/>
      <c r="G12" s="129"/>
      <c r="H12" s="129"/>
      <c r="I12" s="129" t="s">
        <v>724</v>
      </c>
      <c r="J12" s="129"/>
      <c r="K12" s="139" t="s">
        <v>382</v>
      </c>
      <c r="L12" s="139"/>
    </row>
    <row r="13" spans="1:12" x14ac:dyDescent="0.35">
      <c r="A13" s="48" t="s">
        <v>389</v>
      </c>
      <c r="B13" s="127" t="s">
        <v>384</v>
      </c>
      <c r="C13" s="127"/>
      <c r="D13" s="127" t="s">
        <v>390</v>
      </c>
      <c r="E13" s="127"/>
      <c r="F13" s="127"/>
      <c r="G13" s="127"/>
      <c r="H13" s="127"/>
      <c r="I13" s="127" t="s">
        <v>725</v>
      </c>
      <c r="J13" s="127"/>
      <c r="K13" s="139" t="s">
        <v>382</v>
      </c>
      <c r="L13" s="139"/>
    </row>
    <row r="14" spans="1:12" x14ac:dyDescent="0.35">
      <c r="A14" s="43" t="s">
        <v>391</v>
      </c>
      <c r="B14" s="129" t="s">
        <v>384</v>
      </c>
      <c r="C14" s="129"/>
      <c r="D14" s="129" t="s">
        <v>392</v>
      </c>
      <c r="E14" s="129"/>
      <c r="F14" s="129"/>
      <c r="G14" s="129"/>
      <c r="H14" s="129"/>
      <c r="I14" s="129" t="s">
        <v>726</v>
      </c>
      <c r="J14" s="129"/>
      <c r="K14" s="139" t="s">
        <v>382</v>
      </c>
      <c r="L14" s="139"/>
    </row>
    <row r="15" spans="1:12" x14ac:dyDescent="0.35">
      <c r="A15" s="48" t="s">
        <v>393</v>
      </c>
      <c r="B15" s="127" t="s">
        <v>394</v>
      </c>
      <c r="C15" s="127"/>
      <c r="D15" s="127" t="s">
        <v>395</v>
      </c>
      <c r="E15" s="127"/>
      <c r="F15" s="127"/>
      <c r="G15" s="127"/>
      <c r="H15" s="127"/>
      <c r="I15" s="127" t="s">
        <v>396</v>
      </c>
      <c r="J15" s="127"/>
      <c r="K15" s="139" t="s">
        <v>382</v>
      </c>
      <c r="L15" s="139"/>
    </row>
    <row r="16" spans="1:12" x14ac:dyDescent="0.35">
      <c r="A16" s="43" t="s">
        <v>397</v>
      </c>
      <c r="B16" s="129" t="s">
        <v>394</v>
      </c>
      <c r="C16" s="129"/>
      <c r="D16" s="129" t="s">
        <v>398</v>
      </c>
      <c r="E16" s="129"/>
      <c r="F16" s="129"/>
      <c r="G16" s="129"/>
      <c r="H16" s="129"/>
      <c r="I16" s="129" t="s">
        <v>399</v>
      </c>
      <c r="J16" s="129"/>
      <c r="K16" s="139" t="s">
        <v>382</v>
      </c>
      <c r="L16" s="139"/>
    </row>
    <row r="17" spans="1:12" x14ac:dyDescent="0.35">
      <c r="A17" s="48" t="s">
        <v>400</v>
      </c>
      <c r="B17" s="127" t="s">
        <v>394</v>
      </c>
      <c r="C17" s="127"/>
      <c r="D17" s="127" t="s">
        <v>401</v>
      </c>
      <c r="E17" s="127"/>
      <c r="F17" s="127"/>
      <c r="G17" s="127"/>
      <c r="H17" s="127"/>
      <c r="I17" s="127" t="s">
        <v>727</v>
      </c>
      <c r="J17" s="127"/>
      <c r="K17" s="139" t="s">
        <v>382</v>
      </c>
      <c r="L17" s="139"/>
    </row>
    <row r="18" spans="1:12" x14ac:dyDescent="0.35">
      <c r="A18" s="43" t="s">
        <v>402</v>
      </c>
      <c r="B18" s="129" t="s">
        <v>403</v>
      </c>
      <c r="C18" s="129"/>
      <c r="D18" s="129" t="s">
        <v>404</v>
      </c>
      <c r="E18" s="129"/>
      <c r="F18" s="129"/>
      <c r="G18" s="129"/>
      <c r="H18" s="129"/>
      <c r="I18" s="129" t="s">
        <v>405</v>
      </c>
      <c r="J18" s="129"/>
      <c r="K18" s="139" t="s">
        <v>382</v>
      </c>
      <c r="L18" s="139"/>
    </row>
    <row r="19" spans="1:12" x14ac:dyDescent="0.35">
      <c r="A19" s="48" t="s">
        <v>406</v>
      </c>
      <c r="B19" s="127" t="s">
        <v>403</v>
      </c>
      <c r="C19" s="127"/>
      <c r="D19" s="127" t="s">
        <v>407</v>
      </c>
      <c r="E19" s="127"/>
      <c r="F19" s="127"/>
      <c r="G19" s="127"/>
      <c r="H19" s="127"/>
      <c r="I19" s="127" t="s">
        <v>408</v>
      </c>
      <c r="J19" s="127"/>
      <c r="K19" s="139" t="s">
        <v>382</v>
      </c>
      <c r="L19" s="139"/>
    </row>
    <row r="20" spans="1:12" x14ac:dyDescent="0.35">
      <c r="A20" s="43" t="s">
        <v>409</v>
      </c>
      <c r="B20" s="129" t="s">
        <v>410</v>
      </c>
      <c r="C20" s="129"/>
      <c r="D20" s="129" t="s">
        <v>728</v>
      </c>
      <c r="E20" s="129"/>
      <c r="F20" s="129"/>
      <c r="G20" s="129"/>
      <c r="H20" s="129"/>
      <c r="I20" s="129" t="s">
        <v>729</v>
      </c>
      <c r="J20" s="129"/>
      <c r="K20" s="139" t="s">
        <v>382</v>
      </c>
      <c r="L20" s="139"/>
    </row>
    <row r="21" spans="1:12" ht="44" customHeight="1" x14ac:dyDescent="0.35">
      <c r="A21" s="48" t="s">
        <v>411</v>
      </c>
      <c r="B21" s="127" t="s">
        <v>410</v>
      </c>
      <c r="C21" s="127"/>
      <c r="D21" s="127" t="s">
        <v>487</v>
      </c>
      <c r="E21" s="127"/>
      <c r="F21" s="127"/>
      <c r="G21" s="127"/>
      <c r="H21" s="127"/>
      <c r="I21" s="127" t="s">
        <v>488</v>
      </c>
      <c r="J21" s="127"/>
      <c r="K21" s="139" t="s">
        <v>382</v>
      </c>
      <c r="L21" s="139"/>
    </row>
    <row r="22" spans="1:12" ht="26.5" customHeight="1" x14ac:dyDescent="0.35">
      <c r="A22" s="43" t="s">
        <v>412</v>
      </c>
      <c r="B22" s="129" t="s">
        <v>440</v>
      </c>
      <c r="C22" s="129"/>
      <c r="D22" s="129" t="s">
        <v>441</v>
      </c>
      <c r="E22" s="129"/>
      <c r="F22" s="129"/>
      <c r="G22" s="129"/>
      <c r="H22" s="129"/>
      <c r="I22" s="129" t="s">
        <v>442</v>
      </c>
      <c r="J22" s="129"/>
      <c r="K22" s="139" t="s">
        <v>382</v>
      </c>
      <c r="L22" s="139"/>
    </row>
    <row r="23" spans="1:12" ht="26.5" customHeight="1" x14ac:dyDescent="0.35">
      <c r="A23" s="48" t="s">
        <v>413</v>
      </c>
      <c r="B23" s="127" t="s">
        <v>440</v>
      </c>
      <c r="C23" s="127"/>
      <c r="D23" s="127" t="s">
        <v>443</v>
      </c>
      <c r="E23" s="127"/>
      <c r="F23" s="127"/>
      <c r="G23" s="127"/>
      <c r="H23" s="127"/>
      <c r="I23" s="127" t="s">
        <v>444</v>
      </c>
      <c r="J23" s="127"/>
      <c r="K23" s="139" t="s">
        <v>382</v>
      </c>
      <c r="L23" s="139"/>
    </row>
    <row r="24" spans="1:12" ht="25.5" customHeight="1" x14ac:dyDescent="0.35">
      <c r="A24" s="43" t="s">
        <v>414</v>
      </c>
      <c r="B24" s="129" t="s">
        <v>445</v>
      </c>
      <c r="C24" s="129"/>
      <c r="D24" s="129" t="s">
        <v>446</v>
      </c>
      <c r="E24" s="129"/>
      <c r="F24" s="129"/>
      <c r="G24" s="129"/>
      <c r="H24" s="129"/>
      <c r="I24" s="129" t="s">
        <v>447</v>
      </c>
      <c r="J24" s="129"/>
      <c r="K24" s="139" t="s">
        <v>382</v>
      </c>
      <c r="L24" s="139"/>
    </row>
    <row r="25" spans="1:12" x14ac:dyDescent="0.35">
      <c r="A25" s="8"/>
      <c r="B25" s="8"/>
      <c r="C25" s="8"/>
      <c r="D25" s="8"/>
      <c r="E25" s="8"/>
      <c r="F25" s="8"/>
      <c r="G25" s="8"/>
      <c r="H25" s="8"/>
      <c r="I25" s="8"/>
      <c r="J25" s="8"/>
      <c r="K25" s="8"/>
      <c r="L25" s="8"/>
    </row>
    <row r="26" spans="1:12" x14ac:dyDescent="0.35">
      <c r="A26" s="69" t="s">
        <v>415</v>
      </c>
      <c r="B26" s="69"/>
      <c r="C26" s="69"/>
      <c r="D26" s="69"/>
      <c r="E26" s="69"/>
      <c r="F26" s="69"/>
      <c r="G26" s="69"/>
      <c r="H26" s="69"/>
      <c r="I26" s="69"/>
      <c r="J26" s="69"/>
      <c r="K26" s="69"/>
      <c r="L26" s="69"/>
    </row>
    <row r="27" spans="1:12" x14ac:dyDescent="0.35">
      <c r="A27" s="115" t="s">
        <v>730</v>
      </c>
      <c r="B27" s="115"/>
      <c r="C27" s="115"/>
      <c r="D27" s="115"/>
      <c r="E27" s="115"/>
      <c r="F27" s="115"/>
      <c r="G27" s="115"/>
      <c r="H27" s="115"/>
      <c r="I27" s="115"/>
      <c r="J27" s="115"/>
      <c r="K27" s="115"/>
      <c r="L27" s="115"/>
    </row>
    <row r="28" spans="1:12" x14ac:dyDescent="0.35">
      <c r="A28" s="115"/>
      <c r="B28" s="115"/>
      <c r="C28" s="115"/>
      <c r="D28" s="115"/>
      <c r="E28" s="115"/>
      <c r="F28" s="115"/>
      <c r="G28" s="115"/>
      <c r="H28" s="115"/>
      <c r="I28" s="115"/>
      <c r="J28" s="115"/>
      <c r="K28" s="115"/>
      <c r="L28" s="115"/>
    </row>
    <row r="29" spans="1:12" x14ac:dyDescent="0.35">
      <c r="A29" s="115"/>
      <c r="B29" s="115"/>
      <c r="C29" s="115"/>
      <c r="D29" s="115"/>
      <c r="E29" s="115"/>
      <c r="F29" s="115"/>
      <c r="G29" s="115"/>
      <c r="H29" s="115"/>
      <c r="I29" s="115"/>
      <c r="J29" s="115"/>
      <c r="K29" s="115"/>
      <c r="L29" s="115"/>
    </row>
    <row r="30" spans="1:12" x14ac:dyDescent="0.35">
      <c r="A30" s="8"/>
      <c r="B30" s="8"/>
      <c r="C30" s="8"/>
      <c r="D30" s="8"/>
      <c r="E30" s="8"/>
      <c r="F30" s="8"/>
      <c r="G30" s="8"/>
      <c r="H30" s="8"/>
      <c r="I30" s="8"/>
      <c r="J30" s="8"/>
      <c r="K30" s="8"/>
      <c r="L30" s="8"/>
    </row>
    <row r="31" spans="1:12" x14ac:dyDescent="0.35">
      <c r="A31" s="104" t="s">
        <v>691</v>
      </c>
      <c r="B31" s="104"/>
      <c r="C31" s="104"/>
      <c r="D31" s="104"/>
      <c r="E31" s="104"/>
      <c r="F31" s="104"/>
      <c r="G31" s="104"/>
      <c r="H31" s="104"/>
      <c r="I31" s="104"/>
      <c r="J31" s="104"/>
      <c r="K31" s="104"/>
      <c r="L31" s="104"/>
    </row>
    <row r="32" spans="1:12" x14ac:dyDescent="0.35">
      <c r="A32" s="140" t="s">
        <v>692</v>
      </c>
      <c r="B32" s="141" t="s">
        <v>693</v>
      </c>
      <c r="C32" s="141"/>
      <c r="D32" s="142" t="s">
        <v>694</v>
      </c>
      <c r="E32" s="142"/>
      <c r="F32" s="142"/>
      <c r="G32" s="142"/>
      <c r="H32" s="142"/>
      <c r="I32" s="142" t="s">
        <v>695</v>
      </c>
      <c r="J32" s="142"/>
      <c r="K32" s="143" t="s">
        <v>382</v>
      </c>
      <c r="L32" s="143"/>
    </row>
    <row r="33" spans="1:12" x14ac:dyDescent="0.35">
      <c r="A33" s="144" t="s">
        <v>696</v>
      </c>
      <c r="B33" s="145" t="s">
        <v>697</v>
      </c>
      <c r="C33" s="145"/>
      <c r="D33" s="146" t="s">
        <v>698</v>
      </c>
      <c r="E33" s="146"/>
      <c r="F33" s="146"/>
      <c r="G33" s="146"/>
      <c r="H33" s="146"/>
      <c r="I33" s="146" t="s">
        <v>699</v>
      </c>
      <c r="J33" s="146"/>
      <c r="K33" s="147" t="s">
        <v>382</v>
      </c>
      <c r="L33" s="147"/>
    </row>
    <row r="34" spans="1:12" x14ac:dyDescent="0.35">
      <c r="A34" s="144" t="s">
        <v>700</v>
      </c>
      <c r="B34" s="145" t="s">
        <v>701</v>
      </c>
      <c r="C34" s="145"/>
      <c r="D34" s="146" t="s">
        <v>702</v>
      </c>
      <c r="E34" s="146"/>
      <c r="F34" s="146"/>
      <c r="G34" s="146"/>
      <c r="H34" s="146"/>
      <c r="I34" s="146" t="s">
        <v>703</v>
      </c>
      <c r="J34" s="146"/>
      <c r="K34" s="147" t="s">
        <v>382</v>
      </c>
      <c r="L34" s="147"/>
    </row>
    <row r="35" spans="1:12" x14ac:dyDescent="0.35">
      <c r="A35" s="144" t="s">
        <v>704</v>
      </c>
      <c r="B35" s="145" t="s">
        <v>384</v>
      </c>
      <c r="C35" s="145"/>
      <c r="D35" s="146" t="s">
        <v>705</v>
      </c>
      <c r="E35" s="146"/>
      <c r="F35" s="146"/>
      <c r="G35" s="146"/>
      <c r="H35" s="146"/>
      <c r="I35" s="146" t="s">
        <v>706</v>
      </c>
      <c r="J35" s="146"/>
      <c r="K35" s="147" t="s">
        <v>382</v>
      </c>
      <c r="L35" s="147"/>
    </row>
    <row r="36" spans="1:12" x14ac:dyDescent="0.35">
      <c r="A36" s="144" t="s">
        <v>707</v>
      </c>
      <c r="B36" s="145" t="s">
        <v>384</v>
      </c>
      <c r="C36" s="145"/>
      <c r="D36" s="146" t="s">
        <v>708</v>
      </c>
      <c r="E36" s="146"/>
      <c r="F36" s="146"/>
      <c r="G36" s="146"/>
      <c r="H36" s="146"/>
      <c r="I36" s="146" t="s">
        <v>709</v>
      </c>
      <c r="J36" s="146"/>
      <c r="K36" s="147" t="s">
        <v>382</v>
      </c>
      <c r="L36" s="147"/>
    </row>
    <row r="37" spans="1:12" x14ac:dyDescent="0.35">
      <c r="A37" s="144" t="s">
        <v>710</v>
      </c>
      <c r="B37" s="145" t="s">
        <v>711</v>
      </c>
      <c r="C37" s="145"/>
      <c r="D37" s="146" t="s">
        <v>712</v>
      </c>
      <c r="E37" s="146"/>
      <c r="F37" s="146"/>
      <c r="G37" s="146"/>
      <c r="H37" s="146"/>
      <c r="I37" s="146" t="s">
        <v>713</v>
      </c>
      <c r="J37" s="146"/>
      <c r="K37" s="147" t="s">
        <v>382</v>
      </c>
      <c r="L37" s="147"/>
    </row>
    <row r="38" spans="1:12" x14ac:dyDescent="0.35">
      <c r="A38" s="144" t="s">
        <v>714</v>
      </c>
      <c r="B38" s="145" t="s">
        <v>715</v>
      </c>
      <c r="C38" s="145"/>
      <c r="D38" s="146" t="s">
        <v>716</v>
      </c>
      <c r="E38" s="146"/>
      <c r="F38" s="146"/>
      <c r="G38" s="146"/>
      <c r="H38" s="146"/>
      <c r="I38" s="146" t="s">
        <v>717</v>
      </c>
      <c r="J38" s="146"/>
      <c r="K38" s="147" t="s">
        <v>382</v>
      </c>
      <c r="L38" s="147"/>
    </row>
    <row r="39" spans="1:12" x14ac:dyDescent="0.35">
      <c r="A39" s="148" t="s">
        <v>718</v>
      </c>
      <c r="B39" s="149" t="s">
        <v>719</v>
      </c>
      <c r="C39" s="149"/>
      <c r="D39" s="150" t="s">
        <v>720</v>
      </c>
      <c r="E39" s="150"/>
      <c r="F39" s="150"/>
      <c r="G39" s="150"/>
      <c r="H39" s="150"/>
      <c r="I39" s="150" t="s">
        <v>721</v>
      </c>
      <c r="J39" s="150"/>
      <c r="K39" s="151" t="s">
        <v>382</v>
      </c>
      <c r="L39" s="151"/>
    </row>
    <row r="40" spans="1:12" x14ac:dyDescent="0.35">
      <c r="A40" s="7"/>
      <c r="B40" s="7"/>
      <c r="C40" s="7"/>
      <c r="D40" s="7"/>
      <c r="E40" s="7"/>
      <c r="F40" s="7"/>
      <c r="G40" s="7"/>
      <c r="H40" s="7"/>
      <c r="I40" s="7"/>
      <c r="J40" s="7"/>
      <c r="K40" s="7"/>
      <c r="L40" s="7"/>
    </row>
    <row r="41" spans="1:12" x14ac:dyDescent="0.35">
      <c r="A41" s="96" t="s">
        <v>731</v>
      </c>
      <c r="B41" s="96"/>
      <c r="C41" s="96"/>
      <c r="D41" s="96"/>
      <c r="E41" s="96"/>
      <c r="F41" s="96"/>
      <c r="G41" s="96"/>
      <c r="H41" s="96"/>
      <c r="I41" s="96"/>
      <c r="J41" s="96"/>
      <c r="K41" s="96"/>
      <c r="L41" s="96"/>
    </row>
  </sheetData>
  <mergeCells count="108">
    <mergeCell ref="A41:L41"/>
    <mergeCell ref="B38:C38"/>
    <mergeCell ref="D38:H38"/>
    <mergeCell ref="I38:J38"/>
    <mergeCell ref="K38:L38"/>
    <mergeCell ref="B39:C39"/>
    <mergeCell ref="D39:H39"/>
    <mergeCell ref="I39:J39"/>
    <mergeCell ref="K39:L39"/>
    <mergeCell ref="B36:C36"/>
    <mergeCell ref="D36:H36"/>
    <mergeCell ref="I36:J36"/>
    <mergeCell ref="K36:L36"/>
    <mergeCell ref="B37:C37"/>
    <mergeCell ref="D37:H37"/>
    <mergeCell ref="I37:J37"/>
    <mergeCell ref="K37:L37"/>
    <mergeCell ref="B34:C34"/>
    <mergeCell ref="D34:H34"/>
    <mergeCell ref="I34:J34"/>
    <mergeCell ref="K34:L34"/>
    <mergeCell ref="B35:C35"/>
    <mergeCell ref="D35:H35"/>
    <mergeCell ref="I35:J35"/>
    <mergeCell ref="K35:L35"/>
    <mergeCell ref="B32:C32"/>
    <mergeCell ref="D32:H32"/>
    <mergeCell ref="I32:J32"/>
    <mergeCell ref="K32:L32"/>
    <mergeCell ref="B33:C33"/>
    <mergeCell ref="D33:H33"/>
    <mergeCell ref="I33:J33"/>
    <mergeCell ref="K33:L33"/>
    <mergeCell ref="A31:L31"/>
    <mergeCell ref="B24:C24"/>
    <mergeCell ref="D24:H24"/>
    <mergeCell ref="I24:J24"/>
    <mergeCell ref="K24:L24"/>
    <mergeCell ref="A26:L26"/>
    <mergeCell ref="A27:L29"/>
    <mergeCell ref="B22:C22"/>
    <mergeCell ref="D22:H22"/>
    <mergeCell ref="I22:J22"/>
    <mergeCell ref="K22:L22"/>
    <mergeCell ref="B23:C23"/>
    <mergeCell ref="D23:H23"/>
    <mergeCell ref="I23:J23"/>
    <mergeCell ref="K23:L23"/>
    <mergeCell ref="B20:C20"/>
    <mergeCell ref="D20:H20"/>
    <mergeCell ref="I20:J20"/>
    <mergeCell ref="K20:L20"/>
    <mergeCell ref="B21:C21"/>
    <mergeCell ref="D21:H21"/>
    <mergeCell ref="I21:J21"/>
    <mergeCell ref="K21:L21"/>
    <mergeCell ref="B18:C18"/>
    <mergeCell ref="D18:H18"/>
    <mergeCell ref="I18:J18"/>
    <mergeCell ref="K18:L18"/>
    <mergeCell ref="B19:C19"/>
    <mergeCell ref="D19:H19"/>
    <mergeCell ref="I19:J19"/>
    <mergeCell ref="K19:L19"/>
    <mergeCell ref="B16:C16"/>
    <mergeCell ref="D16:H16"/>
    <mergeCell ref="I16:J16"/>
    <mergeCell ref="K16:L16"/>
    <mergeCell ref="B17:C17"/>
    <mergeCell ref="D17:H17"/>
    <mergeCell ref="I17:J17"/>
    <mergeCell ref="K17:L17"/>
    <mergeCell ref="B14:C14"/>
    <mergeCell ref="D14:H14"/>
    <mergeCell ref="I14:J14"/>
    <mergeCell ref="K14:L14"/>
    <mergeCell ref="B15:C15"/>
    <mergeCell ref="D15:H15"/>
    <mergeCell ref="I15:J15"/>
    <mergeCell ref="K15:L15"/>
    <mergeCell ref="B12:C12"/>
    <mergeCell ref="D12:H12"/>
    <mergeCell ref="I12:J12"/>
    <mergeCell ref="K12:L12"/>
    <mergeCell ref="B13:C13"/>
    <mergeCell ref="D13:H13"/>
    <mergeCell ref="I13:J13"/>
    <mergeCell ref="K13:L13"/>
    <mergeCell ref="B10:C10"/>
    <mergeCell ref="D10:H10"/>
    <mergeCell ref="I10:J10"/>
    <mergeCell ref="K10:L10"/>
    <mergeCell ref="B11:C11"/>
    <mergeCell ref="D11:H11"/>
    <mergeCell ref="I11:J11"/>
    <mergeCell ref="K11:L11"/>
    <mergeCell ref="A5:L6"/>
    <mergeCell ref="A8:L8"/>
    <mergeCell ref="B9:C9"/>
    <mergeCell ref="D9:H9"/>
    <mergeCell ref="I9:J9"/>
    <mergeCell ref="K9:L9"/>
    <mergeCell ref="A1:L1"/>
    <mergeCell ref="A2:L2"/>
    <mergeCell ref="A4:C4"/>
    <mergeCell ref="D4:F4"/>
    <mergeCell ref="G4:I4"/>
    <mergeCell ref="J4:L4"/>
  </mergeCells>
  <pageMargins left="0.7" right="0.7" top="0.75" bottom="0.75" header="0.3" footer="0.3"/>
  <pageSetup scale="57"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5444D-F14C-4B0B-A956-F03D0C4E1E8E}">
  <sheetPr>
    <tabColor rgb="FFA5A5A5"/>
  </sheetPr>
  <dimension ref="A1:L31"/>
  <sheetViews>
    <sheetView workbookViewId="0"/>
  </sheetViews>
  <sheetFormatPr defaultRowHeight="14.5" x14ac:dyDescent="0.35"/>
  <sheetData>
    <row r="1" spans="1:12" x14ac:dyDescent="0.35">
      <c r="A1" s="7" t="s">
        <v>0</v>
      </c>
      <c r="B1" s="7" t="s">
        <v>330</v>
      </c>
      <c r="C1" s="7" t="s">
        <v>331</v>
      </c>
      <c r="D1" s="7" t="s">
        <v>327</v>
      </c>
      <c r="E1" s="7" t="s">
        <v>332</v>
      </c>
      <c r="F1" s="7" t="s">
        <v>333</v>
      </c>
      <c r="G1" s="7" t="s">
        <v>334</v>
      </c>
      <c r="H1" s="7" t="s">
        <v>335</v>
      </c>
      <c r="I1" s="7" t="s">
        <v>336</v>
      </c>
      <c r="J1" s="7" t="s">
        <v>337</v>
      </c>
      <c r="K1" s="7" t="s">
        <v>338</v>
      </c>
      <c r="L1" s="7" t="s">
        <v>339</v>
      </c>
    </row>
    <row r="2" spans="1:12" x14ac:dyDescent="0.35">
      <c r="A2" s="7" t="str">
        <f>INDEX(RiskRegister[Risk ID],1)</f>
        <v>R001</v>
      </c>
      <c r="B2" s="7">
        <f>INDEX(RiskRegister[Residual Impact (1-5)],1)</f>
        <v>4</v>
      </c>
      <c r="C2" s="7">
        <f>INDEX(RiskRegister[Residual Likelihood (1-5)],1)</f>
        <v>3</v>
      </c>
      <c r="D2" s="7" t="str">
        <f>INDEX(RiskRegister[Risk Zone],1)</f>
        <v>Amber — High</v>
      </c>
      <c r="E2" s="7" t="str">
        <f>IF($D2="Red — Critical",$B2,"")</f>
        <v/>
      </c>
      <c r="F2" s="7" t="str">
        <f>IF($D2="Red — Critical",$C2,"")</f>
        <v/>
      </c>
      <c r="G2" s="7">
        <f>IF($D2="Amber — High",$B2,"")</f>
        <v>4</v>
      </c>
      <c r="H2" s="7">
        <f>IF($D2="Amber — High",$C2,"")</f>
        <v>3</v>
      </c>
      <c r="I2" s="7" t="str">
        <f>IF($D2="Yellow — Moderate",$B2,"")</f>
        <v/>
      </c>
      <c r="J2" s="7" t="str">
        <f>IF($D2="Yellow — Moderate",$C2,"")</f>
        <v/>
      </c>
      <c r="K2" s="7" t="str">
        <f>IF($D2="Green — Low",$B2,"")</f>
        <v/>
      </c>
      <c r="L2" s="7" t="str">
        <f>IF($D2="Green — Low",$C2,"")</f>
        <v/>
      </c>
    </row>
    <row r="3" spans="1:12" x14ac:dyDescent="0.35">
      <c r="A3" s="7" t="str">
        <f>INDEX(RiskRegister[Risk ID],2)</f>
        <v>R002</v>
      </c>
      <c r="B3" s="7">
        <f>INDEX(RiskRegister[Residual Impact (1-5)],2)</f>
        <v>4</v>
      </c>
      <c r="C3" s="7">
        <f>INDEX(RiskRegister[Residual Likelihood (1-5)],2)</f>
        <v>2</v>
      </c>
      <c r="D3" s="7" t="str">
        <f>INDEX(RiskRegister[Risk Zone],2)</f>
        <v>Yellow — Moderate</v>
      </c>
      <c r="E3" s="7" t="str">
        <f t="shared" ref="E3:E31" si="0">IF($D3="Red — Critical",$B3,"")</f>
        <v/>
      </c>
      <c r="F3" s="7" t="str">
        <f t="shared" ref="F3:F31" si="1">IF($D3="Red — Critical",$C3,"")</f>
        <v/>
      </c>
      <c r="G3" s="7" t="str">
        <f t="shared" ref="G3:G31" si="2">IF($D3="Amber — High",$B3,"")</f>
        <v/>
      </c>
      <c r="H3" s="7" t="str">
        <f t="shared" ref="H3:H31" si="3">IF($D3="Amber — High",$C3,"")</f>
        <v/>
      </c>
      <c r="I3" s="7">
        <f t="shared" ref="I3:I31" si="4">IF($D3="Yellow — Moderate",$B3,"")</f>
        <v>4</v>
      </c>
      <c r="J3" s="7">
        <f t="shared" ref="J3:J31" si="5">IF($D3="Yellow — Moderate",$C3,"")</f>
        <v>2</v>
      </c>
      <c r="K3" s="7" t="str">
        <f t="shared" ref="K3:K31" si="6">IF($D3="Green — Low",$B3,"")</f>
        <v/>
      </c>
      <c r="L3" s="7" t="str">
        <f t="shared" ref="L3:L31" si="7">IF($D3="Green — Low",$C3,"")</f>
        <v/>
      </c>
    </row>
    <row r="4" spans="1:12" x14ac:dyDescent="0.35">
      <c r="A4" s="7" t="str">
        <f>INDEX(RiskRegister[Risk ID],3)</f>
        <v>R003</v>
      </c>
      <c r="B4" s="7">
        <f>INDEX(RiskRegister[Residual Impact (1-5)],3)</f>
        <v>3</v>
      </c>
      <c r="C4" s="7">
        <f>INDEX(RiskRegister[Residual Likelihood (1-5)],3)</f>
        <v>2</v>
      </c>
      <c r="D4" s="7" t="str">
        <f>INDEX(RiskRegister[Risk Zone],3)</f>
        <v>Yellow — Moderate</v>
      </c>
      <c r="E4" s="7" t="str">
        <f t="shared" si="0"/>
        <v/>
      </c>
      <c r="F4" s="7" t="str">
        <f t="shared" si="1"/>
        <v/>
      </c>
      <c r="G4" s="7" t="str">
        <f t="shared" si="2"/>
        <v/>
      </c>
      <c r="H4" s="7" t="str">
        <f t="shared" si="3"/>
        <v/>
      </c>
      <c r="I4" s="7">
        <f t="shared" si="4"/>
        <v>3</v>
      </c>
      <c r="J4" s="7">
        <f t="shared" si="5"/>
        <v>2</v>
      </c>
      <c r="K4" s="7" t="str">
        <f t="shared" si="6"/>
        <v/>
      </c>
      <c r="L4" s="7" t="str">
        <f t="shared" si="7"/>
        <v/>
      </c>
    </row>
    <row r="5" spans="1:12" x14ac:dyDescent="0.35">
      <c r="A5" s="7" t="str">
        <f>INDEX(RiskRegister[Risk ID],4)</f>
        <v>R004</v>
      </c>
      <c r="B5" s="7">
        <f>INDEX(RiskRegister[Residual Impact (1-5)],4)</f>
        <v>4</v>
      </c>
      <c r="C5" s="7">
        <f>INDEX(RiskRegister[Residual Likelihood (1-5)],4)</f>
        <v>3</v>
      </c>
      <c r="D5" s="7" t="str">
        <f>INDEX(RiskRegister[Risk Zone],4)</f>
        <v>Amber — High</v>
      </c>
      <c r="E5" s="7" t="str">
        <f t="shared" si="0"/>
        <v/>
      </c>
      <c r="F5" s="7" t="str">
        <f t="shared" si="1"/>
        <v/>
      </c>
      <c r="G5" s="7">
        <f t="shared" si="2"/>
        <v>4</v>
      </c>
      <c r="H5" s="7">
        <f t="shared" si="3"/>
        <v>3</v>
      </c>
      <c r="I5" s="7" t="str">
        <f t="shared" si="4"/>
        <v/>
      </c>
      <c r="J5" s="7" t="str">
        <f t="shared" si="5"/>
        <v/>
      </c>
      <c r="K5" s="7" t="str">
        <f t="shared" si="6"/>
        <v/>
      </c>
      <c r="L5" s="7" t="str">
        <f t="shared" si="7"/>
        <v/>
      </c>
    </row>
    <row r="6" spans="1:12" x14ac:dyDescent="0.35">
      <c r="A6" s="7" t="str">
        <f>INDEX(RiskRegister[Risk ID],5)</f>
        <v>R005</v>
      </c>
      <c r="B6" s="7">
        <f>INDEX(RiskRegister[Residual Impact (1-5)],5)</f>
        <v>5</v>
      </c>
      <c r="C6" s="7">
        <f>INDEX(RiskRegister[Residual Likelihood (1-5)],5)</f>
        <v>3</v>
      </c>
      <c r="D6" s="7" t="str">
        <f>INDEX(RiskRegister[Risk Zone],5)</f>
        <v>Red — Critical</v>
      </c>
      <c r="E6" s="7">
        <f t="shared" si="0"/>
        <v>5</v>
      </c>
      <c r="F6" s="7">
        <f t="shared" si="1"/>
        <v>3</v>
      </c>
      <c r="G6" s="7" t="str">
        <f t="shared" si="2"/>
        <v/>
      </c>
      <c r="H6" s="7" t="str">
        <f t="shared" si="3"/>
        <v/>
      </c>
      <c r="I6" s="7" t="str">
        <f t="shared" si="4"/>
        <v/>
      </c>
      <c r="J6" s="7" t="str">
        <f t="shared" si="5"/>
        <v/>
      </c>
      <c r="K6" s="7" t="str">
        <f t="shared" si="6"/>
        <v/>
      </c>
      <c r="L6" s="7" t="str">
        <f t="shared" si="7"/>
        <v/>
      </c>
    </row>
    <row r="7" spans="1:12" x14ac:dyDescent="0.35">
      <c r="A7" s="7" t="str">
        <f>INDEX(RiskRegister[Risk ID],6)</f>
        <v>R006</v>
      </c>
      <c r="B7" s="7">
        <f>INDEX(RiskRegister[Residual Impact (1-5)],6)</f>
        <v>4</v>
      </c>
      <c r="C7" s="7">
        <f>INDEX(RiskRegister[Residual Likelihood (1-5)],6)</f>
        <v>2</v>
      </c>
      <c r="D7" s="7" t="str">
        <f>INDEX(RiskRegister[Risk Zone],6)</f>
        <v>Yellow — Moderate</v>
      </c>
      <c r="E7" s="7" t="str">
        <f t="shared" si="0"/>
        <v/>
      </c>
      <c r="F7" s="7" t="str">
        <f t="shared" si="1"/>
        <v/>
      </c>
      <c r="G7" s="7" t="str">
        <f t="shared" si="2"/>
        <v/>
      </c>
      <c r="H7" s="7" t="str">
        <f t="shared" si="3"/>
        <v/>
      </c>
      <c r="I7" s="7">
        <f t="shared" si="4"/>
        <v>4</v>
      </c>
      <c r="J7" s="7">
        <f t="shared" si="5"/>
        <v>2</v>
      </c>
      <c r="K7" s="7" t="str">
        <f t="shared" si="6"/>
        <v/>
      </c>
      <c r="L7" s="7" t="str">
        <f t="shared" si="7"/>
        <v/>
      </c>
    </row>
    <row r="8" spans="1:12" x14ac:dyDescent="0.35">
      <c r="A8" s="7" t="str">
        <f>INDEX(RiskRegister[Risk ID],7)</f>
        <v>R007</v>
      </c>
      <c r="B8" s="7">
        <f>INDEX(RiskRegister[Residual Impact (1-5)],7)</f>
        <v>5</v>
      </c>
      <c r="C8" s="7">
        <f>INDEX(RiskRegister[Residual Likelihood (1-5)],7)</f>
        <v>4</v>
      </c>
      <c r="D8" s="7" t="str">
        <f>INDEX(RiskRegister[Risk Zone],7)</f>
        <v>Red — Critical</v>
      </c>
      <c r="E8" s="7">
        <f t="shared" si="0"/>
        <v>5</v>
      </c>
      <c r="F8" s="7">
        <f t="shared" si="1"/>
        <v>4</v>
      </c>
      <c r="G8" s="7" t="str">
        <f t="shared" si="2"/>
        <v/>
      </c>
      <c r="H8" s="7" t="str">
        <f t="shared" si="3"/>
        <v/>
      </c>
      <c r="I8" s="7" t="str">
        <f t="shared" si="4"/>
        <v/>
      </c>
      <c r="J8" s="7" t="str">
        <f t="shared" si="5"/>
        <v/>
      </c>
      <c r="K8" s="7" t="str">
        <f t="shared" si="6"/>
        <v/>
      </c>
      <c r="L8" s="7" t="str">
        <f t="shared" si="7"/>
        <v/>
      </c>
    </row>
    <row r="9" spans="1:12" x14ac:dyDescent="0.35">
      <c r="A9" s="7" t="str">
        <f>INDEX(RiskRegister[Risk ID],8)</f>
        <v>R008</v>
      </c>
      <c r="B9" s="7">
        <f>INDEX(RiskRegister[Residual Impact (1-5)],8)</f>
        <v>3</v>
      </c>
      <c r="C9" s="7">
        <f>INDEX(RiskRegister[Residual Likelihood (1-5)],8)</f>
        <v>2</v>
      </c>
      <c r="D9" s="7" t="str">
        <f>INDEX(RiskRegister[Risk Zone],8)</f>
        <v>Yellow — Moderate</v>
      </c>
      <c r="E9" s="7" t="str">
        <f t="shared" si="0"/>
        <v/>
      </c>
      <c r="F9" s="7" t="str">
        <f t="shared" si="1"/>
        <v/>
      </c>
      <c r="G9" s="7" t="str">
        <f t="shared" si="2"/>
        <v/>
      </c>
      <c r="H9" s="7" t="str">
        <f t="shared" si="3"/>
        <v/>
      </c>
      <c r="I9" s="7">
        <f t="shared" si="4"/>
        <v>3</v>
      </c>
      <c r="J9" s="7">
        <f t="shared" si="5"/>
        <v>2</v>
      </c>
      <c r="K9" s="7" t="str">
        <f t="shared" si="6"/>
        <v/>
      </c>
      <c r="L9" s="7" t="str">
        <f t="shared" si="7"/>
        <v/>
      </c>
    </row>
    <row r="10" spans="1:12" x14ac:dyDescent="0.35">
      <c r="A10" s="7" t="str">
        <f>INDEX(RiskRegister[Risk ID],9)</f>
        <v>R009</v>
      </c>
      <c r="B10" s="7">
        <f>INDEX(RiskRegister[Residual Impact (1-5)],9)</f>
        <v>3</v>
      </c>
      <c r="C10" s="7">
        <f>INDEX(RiskRegister[Residual Likelihood (1-5)],9)</f>
        <v>2</v>
      </c>
      <c r="D10" s="7" t="str">
        <f>INDEX(RiskRegister[Risk Zone],9)</f>
        <v>Yellow — Moderate</v>
      </c>
      <c r="E10" s="7" t="str">
        <f t="shared" si="0"/>
        <v/>
      </c>
      <c r="F10" s="7" t="str">
        <f t="shared" si="1"/>
        <v/>
      </c>
      <c r="G10" s="7" t="str">
        <f t="shared" si="2"/>
        <v/>
      </c>
      <c r="H10" s="7" t="str">
        <f t="shared" si="3"/>
        <v/>
      </c>
      <c r="I10" s="7">
        <f t="shared" si="4"/>
        <v>3</v>
      </c>
      <c r="J10" s="7">
        <f t="shared" si="5"/>
        <v>2</v>
      </c>
      <c r="K10" s="7" t="str">
        <f t="shared" si="6"/>
        <v/>
      </c>
      <c r="L10" s="7" t="str">
        <f t="shared" si="7"/>
        <v/>
      </c>
    </row>
    <row r="11" spans="1:12" x14ac:dyDescent="0.35">
      <c r="A11" s="7" t="str">
        <f>INDEX(RiskRegister[Risk ID],10)</f>
        <v>R010</v>
      </c>
      <c r="B11" s="7">
        <f>INDEX(RiskRegister[Residual Impact (1-5)],10)</f>
        <v>5</v>
      </c>
      <c r="C11" s="7">
        <f>INDEX(RiskRegister[Residual Likelihood (1-5)],10)</f>
        <v>4</v>
      </c>
      <c r="D11" s="7" t="str">
        <f>INDEX(RiskRegister[Risk Zone],10)</f>
        <v>Red — Critical</v>
      </c>
      <c r="E11" s="7">
        <f t="shared" si="0"/>
        <v>5</v>
      </c>
      <c r="F11" s="7">
        <f t="shared" si="1"/>
        <v>4</v>
      </c>
      <c r="G11" s="7" t="str">
        <f t="shared" si="2"/>
        <v/>
      </c>
      <c r="H11" s="7" t="str">
        <f t="shared" si="3"/>
        <v/>
      </c>
      <c r="I11" s="7" t="str">
        <f t="shared" si="4"/>
        <v/>
      </c>
      <c r="J11" s="7" t="str">
        <f t="shared" si="5"/>
        <v/>
      </c>
      <c r="K11" s="7" t="str">
        <f t="shared" si="6"/>
        <v/>
      </c>
      <c r="L11" s="7" t="str">
        <f t="shared" si="7"/>
        <v/>
      </c>
    </row>
    <row r="12" spans="1:12" x14ac:dyDescent="0.35">
      <c r="A12" s="7" t="str">
        <f>INDEX(RiskRegister[Risk ID],11)</f>
        <v>R011</v>
      </c>
      <c r="B12" s="7">
        <f>INDEX(RiskRegister[Residual Impact (1-5)],11)</f>
        <v>3</v>
      </c>
      <c r="C12" s="7">
        <f>INDEX(RiskRegister[Residual Likelihood (1-5)],11)</f>
        <v>2</v>
      </c>
      <c r="D12" s="7" t="str">
        <f>INDEX(RiskRegister[Risk Zone],11)</f>
        <v>Yellow — Moderate</v>
      </c>
      <c r="E12" s="7" t="str">
        <f t="shared" si="0"/>
        <v/>
      </c>
      <c r="F12" s="7" t="str">
        <f t="shared" si="1"/>
        <v/>
      </c>
      <c r="G12" s="7" t="str">
        <f t="shared" si="2"/>
        <v/>
      </c>
      <c r="H12" s="7" t="str">
        <f t="shared" si="3"/>
        <v/>
      </c>
      <c r="I12" s="7">
        <f t="shared" si="4"/>
        <v>3</v>
      </c>
      <c r="J12" s="7">
        <f t="shared" si="5"/>
        <v>2</v>
      </c>
      <c r="K12" s="7" t="str">
        <f t="shared" si="6"/>
        <v/>
      </c>
      <c r="L12" s="7" t="str">
        <f t="shared" si="7"/>
        <v/>
      </c>
    </row>
    <row r="13" spans="1:12" x14ac:dyDescent="0.35">
      <c r="A13" s="7" t="str">
        <f>INDEX(RiskRegister[Risk ID],12)</f>
        <v>R012</v>
      </c>
      <c r="B13" s="7">
        <f>INDEX(RiskRegister[Residual Impact (1-5)],12)</f>
        <v>3</v>
      </c>
      <c r="C13" s="7">
        <f>INDEX(RiskRegister[Residual Likelihood (1-5)],12)</f>
        <v>2</v>
      </c>
      <c r="D13" s="7" t="str">
        <f>INDEX(RiskRegister[Risk Zone],12)</f>
        <v>Yellow — Moderate</v>
      </c>
      <c r="E13" s="7" t="str">
        <f t="shared" si="0"/>
        <v/>
      </c>
      <c r="F13" s="7" t="str">
        <f t="shared" si="1"/>
        <v/>
      </c>
      <c r="G13" s="7" t="str">
        <f t="shared" si="2"/>
        <v/>
      </c>
      <c r="H13" s="7" t="str">
        <f t="shared" si="3"/>
        <v/>
      </c>
      <c r="I13" s="7">
        <f t="shared" si="4"/>
        <v>3</v>
      </c>
      <c r="J13" s="7">
        <f t="shared" si="5"/>
        <v>2</v>
      </c>
      <c r="K13" s="7" t="str">
        <f t="shared" si="6"/>
        <v/>
      </c>
      <c r="L13" s="7" t="str">
        <f t="shared" si="7"/>
        <v/>
      </c>
    </row>
    <row r="14" spans="1:12" x14ac:dyDescent="0.35">
      <c r="A14" s="7" t="str">
        <f>INDEX(RiskRegister[Risk ID],13)</f>
        <v>R013</v>
      </c>
      <c r="B14" s="7">
        <f>INDEX(RiskRegister[Residual Impact (1-5)],13)</f>
        <v>3</v>
      </c>
      <c r="C14" s="7">
        <f>INDEX(RiskRegister[Residual Likelihood (1-5)],13)</f>
        <v>2</v>
      </c>
      <c r="D14" s="7" t="str">
        <f>INDEX(RiskRegister[Risk Zone],13)</f>
        <v>Yellow — Moderate</v>
      </c>
      <c r="E14" s="7" t="str">
        <f t="shared" si="0"/>
        <v/>
      </c>
      <c r="F14" s="7" t="str">
        <f t="shared" si="1"/>
        <v/>
      </c>
      <c r="G14" s="7" t="str">
        <f t="shared" si="2"/>
        <v/>
      </c>
      <c r="H14" s="7" t="str">
        <f t="shared" si="3"/>
        <v/>
      </c>
      <c r="I14" s="7">
        <f t="shared" si="4"/>
        <v>3</v>
      </c>
      <c r="J14" s="7">
        <f t="shared" si="5"/>
        <v>2</v>
      </c>
      <c r="K14" s="7" t="str">
        <f t="shared" si="6"/>
        <v/>
      </c>
      <c r="L14" s="7" t="str">
        <f t="shared" si="7"/>
        <v/>
      </c>
    </row>
    <row r="15" spans="1:12" x14ac:dyDescent="0.35">
      <c r="A15" s="7" t="str">
        <f>INDEX(RiskRegister[Risk ID],14)</f>
        <v>R014</v>
      </c>
      <c r="B15" s="7">
        <f>INDEX(RiskRegister[Residual Impact (1-5)],14)</f>
        <v>4</v>
      </c>
      <c r="C15" s="7">
        <f>INDEX(RiskRegister[Residual Likelihood (1-5)],14)</f>
        <v>3</v>
      </c>
      <c r="D15" s="7" t="str">
        <f>INDEX(RiskRegister[Risk Zone],14)</f>
        <v>Amber — High</v>
      </c>
      <c r="E15" s="7" t="str">
        <f t="shared" si="0"/>
        <v/>
      </c>
      <c r="F15" s="7" t="str">
        <f t="shared" si="1"/>
        <v/>
      </c>
      <c r="G15" s="7">
        <f t="shared" si="2"/>
        <v>4</v>
      </c>
      <c r="H15" s="7">
        <f t="shared" si="3"/>
        <v>3</v>
      </c>
      <c r="I15" s="7" t="str">
        <f t="shared" si="4"/>
        <v/>
      </c>
      <c r="J15" s="7" t="str">
        <f t="shared" si="5"/>
        <v/>
      </c>
      <c r="K15" s="7" t="str">
        <f t="shared" si="6"/>
        <v/>
      </c>
      <c r="L15" s="7" t="str">
        <f t="shared" si="7"/>
        <v/>
      </c>
    </row>
    <row r="16" spans="1:12" x14ac:dyDescent="0.35">
      <c r="A16" s="7" t="str">
        <f>INDEX(RiskRegister[Risk ID],15)</f>
        <v>R015</v>
      </c>
      <c r="B16" s="7">
        <f>INDEX(RiskRegister[Residual Impact (1-5)],15)</f>
        <v>4</v>
      </c>
      <c r="C16" s="7">
        <f>INDEX(RiskRegister[Residual Likelihood (1-5)],15)</f>
        <v>2</v>
      </c>
      <c r="D16" s="7" t="str">
        <f>INDEX(RiskRegister[Risk Zone],15)</f>
        <v>Yellow — Moderate</v>
      </c>
      <c r="E16" s="7" t="str">
        <f t="shared" si="0"/>
        <v/>
      </c>
      <c r="F16" s="7" t="str">
        <f t="shared" si="1"/>
        <v/>
      </c>
      <c r="G16" s="7" t="str">
        <f t="shared" si="2"/>
        <v/>
      </c>
      <c r="H16" s="7" t="str">
        <f t="shared" si="3"/>
        <v/>
      </c>
      <c r="I16" s="7">
        <f t="shared" si="4"/>
        <v>4</v>
      </c>
      <c r="J16" s="7">
        <f t="shared" si="5"/>
        <v>2</v>
      </c>
      <c r="K16" s="7" t="str">
        <f t="shared" si="6"/>
        <v/>
      </c>
      <c r="L16" s="7" t="str">
        <f t="shared" si="7"/>
        <v/>
      </c>
    </row>
    <row r="17" spans="1:12" x14ac:dyDescent="0.35">
      <c r="A17" s="7" t="str">
        <f>INDEX(RiskRegister[Risk ID],16)</f>
        <v>R016</v>
      </c>
      <c r="B17" s="7">
        <f>INDEX(RiskRegister[Residual Impact (1-5)],16)</f>
        <v>4</v>
      </c>
      <c r="C17" s="7">
        <f>INDEX(RiskRegister[Residual Likelihood (1-5)],16)</f>
        <v>2</v>
      </c>
      <c r="D17" s="7" t="str">
        <f>INDEX(RiskRegister[Risk Zone],16)</f>
        <v>Yellow — Moderate</v>
      </c>
      <c r="E17" s="7" t="str">
        <f t="shared" si="0"/>
        <v/>
      </c>
      <c r="F17" s="7" t="str">
        <f t="shared" si="1"/>
        <v/>
      </c>
      <c r="G17" s="7" t="str">
        <f t="shared" si="2"/>
        <v/>
      </c>
      <c r="H17" s="7" t="str">
        <f t="shared" si="3"/>
        <v/>
      </c>
      <c r="I17" s="7">
        <f t="shared" si="4"/>
        <v>4</v>
      </c>
      <c r="J17" s="7">
        <f t="shared" si="5"/>
        <v>2</v>
      </c>
      <c r="K17" s="7" t="str">
        <f t="shared" si="6"/>
        <v/>
      </c>
      <c r="L17" s="7" t="str">
        <f t="shared" si="7"/>
        <v/>
      </c>
    </row>
    <row r="18" spans="1:12" x14ac:dyDescent="0.35">
      <c r="A18" s="7" t="str">
        <f>INDEX(RiskRegister[Risk ID],17)</f>
        <v>R017</v>
      </c>
      <c r="B18" s="7">
        <f>INDEX(RiskRegister[Residual Impact (1-5)],17)</f>
        <v>4</v>
      </c>
      <c r="C18" s="7">
        <f>INDEX(RiskRegister[Residual Likelihood (1-5)],17)</f>
        <v>3</v>
      </c>
      <c r="D18" s="7" t="str">
        <f>INDEX(RiskRegister[Risk Zone],17)</f>
        <v>Amber — High</v>
      </c>
      <c r="E18" s="7" t="str">
        <f t="shared" si="0"/>
        <v/>
      </c>
      <c r="F18" s="7" t="str">
        <f t="shared" si="1"/>
        <v/>
      </c>
      <c r="G18" s="7">
        <f t="shared" si="2"/>
        <v>4</v>
      </c>
      <c r="H18" s="7">
        <f t="shared" si="3"/>
        <v>3</v>
      </c>
      <c r="I18" s="7" t="str">
        <f t="shared" si="4"/>
        <v/>
      </c>
      <c r="J18" s="7" t="str">
        <f t="shared" si="5"/>
        <v/>
      </c>
      <c r="K18" s="7" t="str">
        <f t="shared" si="6"/>
        <v/>
      </c>
      <c r="L18" s="7" t="str">
        <f t="shared" si="7"/>
        <v/>
      </c>
    </row>
    <row r="19" spans="1:12" x14ac:dyDescent="0.35">
      <c r="A19" s="7" t="str">
        <f>INDEX(RiskRegister[Risk ID],18)</f>
        <v>R018</v>
      </c>
      <c r="B19" s="7">
        <f>INDEX(RiskRegister[Residual Impact (1-5)],18)</f>
        <v>4</v>
      </c>
      <c r="C19" s="7">
        <f>INDEX(RiskRegister[Residual Likelihood (1-5)],18)</f>
        <v>2</v>
      </c>
      <c r="D19" s="7" t="str">
        <f>INDEX(RiskRegister[Risk Zone],18)</f>
        <v>Yellow — Moderate</v>
      </c>
      <c r="E19" s="7" t="str">
        <f t="shared" si="0"/>
        <v/>
      </c>
      <c r="F19" s="7" t="str">
        <f t="shared" si="1"/>
        <v/>
      </c>
      <c r="G19" s="7" t="str">
        <f t="shared" si="2"/>
        <v/>
      </c>
      <c r="H19" s="7" t="str">
        <f t="shared" si="3"/>
        <v/>
      </c>
      <c r="I19" s="7">
        <f t="shared" si="4"/>
        <v>4</v>
      </c>
      <c r="J19" s="7">
        <f t="shared" si="5"/>
        <v>2</v>
      </c>
      <c r="K19" s="7" t="str">
        <f t="shared" si="6"/>
        <v/>
      </c>
      <c r="L19" s="7" t="str">
        <f t="shared" si="7"/>
        <v/>
      </c>
    </row>
    <row r="20" spans="1:12" x14ac:dyDescent="0.35">
      <c r="A20" s="7" t="str">
        <f>INDEX(RiskRegister[Risk ID],19)</f>
        <v>R019</v>
      </c>
      <c r="B20" s="7">
        <f>INDEX(RiskRegister[Residual Impact (1-5)],19)</f>
        <v>3</v>
      </c>
      <c r="C20" s="7">
        <f>INDEX(RiskRegister[Residual Likelihood (1-5)],19)</f>
        <v>2</v>
      </c>
      <c r="D20" s="7" t="str">
        <f>INDEX(RiskRegister[Risk Zone],19)</f>
        <v>Yellow — Moderate</v>
      </c>
      <c r="E20" s="7" t="str">
        <f t="shared" si="0"/>
        <v/>
      </c>
      <c r="F20" s="7" t="str">
        <f t="shared" si="1"/>
        <v/>
      </c>
      <c r="G20" s="7" t="str">
        <f t="shared" si="2"/>
        <v/>
      </c>
      <c r="H20" s="7" t="str">
        <f t="shared" si="3"/>
        <v/>
      </c>
      <c r="I20" s="7">
        <f t="shared" si="4"/>
        <v>3</v>
      </c>
      <c r="J20" s="7">
        <f t="shared" si="5"/>
        <v>2</v>
      </c>
      <c r="K20" s="7" t="str">
        <f t="shared" si="6"/>
        <v/>
      </c>
      <c r="L20" s="7" t="str">
        <f t="shared" si="7"/>
        <v/>
      </c>
    </row>
    <row r="21" spans="1:12" x14ac:dyDescent="0.35">
      <c r="A21" s="7" t="str">
        <f>INDEX(RiskRegister[Risk ID],20)</f>
        <v>R020</v>
      </c>
      <c r="B21" s="7">
        <f>INDEX(RiskRegister[Residual Impact (1-5)],20)</f>
        <v>4</v>
      </c>
      <c r="C21" s="7">
        <f>INDEX(RiskRegister[Residual Likelihood (1-5)],20)</f>
        <v>2</v>
      </c>
      <c r="D21" s="7" t="str">
        <f>INDEX(RiskRegister[Risk Zone],20)</f>
        <v>Yellow — Moderate</v>
      </c>
      <c r="E21" s="7" t="str">
        <f t="shared" si="0"/>
        <v/>
      </c>
      <c r="F21" s="7" t="str">
        <f t="shared" si="1"/>
        <v/>
      </c>
      <c r="G21" s="7" t="str">
        <f t="shared" si="2"/>
        <v/>
      </c>
      <c r="H21" s="7" t="str">
        <f t="shared" si="3"/>
        <v/>
      </c>
      <c r="I21" s="7">
        <f t="shared" si="4"/>
        <v>4</v>
      </c>
      <c r="J21" s="7">
        <f t="shared" si="5"/>
        <v>2</v>
      </c>
      <c r="K21" s="7" t="str">
        <f t="shared" si="6"/>
        <v/>
      </c>
      <c r="L21" s="7" t="str">
        <f t="shared" si="7"/>
        <v/>
      </c>
    </row>
    <row r="22" spans="1:12" x14ac:dyDescent="0.35">
      <c r="A22" s="7" t="str">
        <f>INDEX(RiskRegister[Risk ID],21)</f>
        <v>R021</v>
      </c>
      <c r="B22" s="7">
        <f>INDEX(RiskRegister[Residual Impact (1-5)],21)</f>
        <v>4</v>
      </c>
      <c r="C22" s="7">
        <f>INDEX(RiskRegister[Residual Likelihood (1-5)],21)</f>
        <v>1</v>
      </c>
      <c r="D22" s="7" t="str">
        <f>INDEX(RiskRegister[Risk Zone],21)</f>
        <v>Green — Low</v>
      </c>
      <c r="E22" s="7" t="str">
        <f t="shared" si="0"/>
        <v/>
      </c>
      <c r="F22" s="7" t="str">
        <f t="shared" si="1"/>
        <v/>
      </c>
      <c r="G22" s="7" t="str">
        <f t="shared" si="2"/>
        <v/>
      </c>
      <c r="H22" s="7" t="str">
        <f t="shared" si="3"/>
        <v/>
      </c>
      <c r="I22" s="7" t="str">
        <f t="shared" si="4"/>
        <v/>
      </c>
      <c r="J22" s="7" t="str">
        <f t="shared" si="5"/>
        <v/>
      </c>
      <c r="K22" s="7">
        <f t="shared" si="6"/>
        <v>4</v>
      </c>
      <c r="L22" s="7">
        <f t="shared" si="7"/>
        <v>1</v>
      </c>
    </row>
    <row r="23" spans="1:12" x14ac:dyDescent="0.35">
      <c r="A23" s="7" t="str">
        <f>INDEX(RiskRegister[Risk ID],22)</f>
        <v>R022</v>
      </c>
      <c r="B23" s="7">
        <f>INDEX(RiskRegister[Residual Impact (1-5)],22)</f>
        <v>3</v>
      </c>
      <c r="C23" s="7">
        <f>INDEX(RiskRegister[Residual Likelihood (1-5)],22)</f>
        <v>2</v>
      </c>
      <c r="D23" s="7" t="str">
        <f>INDEX(RiskRegister[Risk Zone],22)</f>
        <v>Yellow — Moderate</v>
      </c>
      <c r="E23" s="7" t="str">
        <f t="shared" si="0"/>
        <v/>
      </c>
      <c r="F23" s="7" t="str">
        <f t="shared" si="1"/>
        <v/>
      </c>
      <c r="G23" s="7" t="str">
        <f t="shared" si="2"/>
        <v/>
      </c>
      <c r="H23" s="7" t="str">
        <f t="shared" si="3"/>
        <v/>
      </c>
      <c r="I23" s="7">
        <f t="shared" si="4"/>
        <v>3</v>
      </c>
      <c r="J23" s="7">
        <f t="shared" si="5"/>
        <v>2</v>
      </c>
      <c r="K23" s="7" t="str">
        <f t="shared" si="6"/>
        <v/>
      </c>
      <c r="L23" s="7" t="str">
        <f t="shared" si="7"/>
        <v/>
      </c>
    </row>
    <row r="24" spans="1:12" x14ac:dyDescent="0.35">
      <c r="A24" s="7" t="str">
        <f>INDEX(RiskRegister[Risk ID],23)</f>
        <v>R023</v>
      </c>
      <c r="B24" s="7">
        <f>INDEX(RiskRegister[Residual Impact (1-5)],23)</f>
        <v>3</v>
      </c>
      <c r="C24" s="7">
        <f>INDEX(RiskRegister[Residual Likelihood (1-5)],23)</f>
        <v>1</v>
      </c>
      <c r="D24" s="7" t="str">
        <f>INDEX(RiskRegister[Risk Zone],23)</f>
        <v>Green — Low</v>
      </c>
      <c r="E24" s="7" t="str">
        <f t="shared" si="0"/>
        <v/>
      </c>
      <c r="F24" s="7" t="str">
        <f t="shared" si="1"/>
        <v/>
      </c>
      <c r="G24" s="7" t="str">
        <f t="shared" si="2"/>
        <v/>
      </c>
      <c r="H24" s="7" t="str">
        <f t="shared" si="3"/>
        <v/>
      </c>
      <c r="I24" s="7" t="str">
        <f t="shared" si="4"/>
        <v/>
      </c>
      <c r="J24" s="7" t="str">
        <f t="shared" si="5"/>
        <v/>
      </c>
      <c r="K24" s="7">
        <f t="shared" si="6"/>
        <v>3</v>
      </c>
      <c r="L24" s="7">
        <f t="shared" si="7"/>
        <v>1</v>
      </c>
    </row>
    <row r="25" spans="1:12" x14ac:dyDescent="0.35">
      <c r="A25" s="7" t="str">
        <f>INDEX(RiskRegister[Risk ID],24)</f>
        <v>R024</v>
      </c>
      <c r="B25" s="7">
        <f>INDEX(RiskRegister[Residual Impact (1-5)],24)</f>
        <v>3</v>
      </c>
      <c r="C25" s="7">
        <f>INDEX(RiskRegister[Residual Likelihood (1-5)],24)</f>
        <v>2</v>
      </c>
      <c r="D25" s="7" t="str">
        <f>INDEX(RiskRegister[Risk Zone],24)</f>
        <v>Yellow — Moderate</v>
      </c>
      <c r="E25" s="7" t="str">
        <f t="shared" si="0"/>
        <v/>
      </c>
      <c r="F25" s="7" t="str">
        <f t="shared" si="1"/>
        <v/>
      </c>
      <c r="G25" s="7" t="str">
        <f t="shared" si="2"/>
        <v/>
      </c>
      <c r="H25" s="7" t="str">
        <f t="shared" si="3"/>
        <v/>
      </c>
      <c r="I25" s="7">
        <f t="shared" si="4"/>
        <v>3</v>
      </c>
      <c r="J25" s="7">
        <f t="shared" si="5"/>
        <v>2</v>
      </c>
      <c r="K25" s="7" t="str">
        <f t="shared" si="6"/>
        <v/>
      </c>
      <c r="L25" s="7" t="str">
        <f t="shared" si="7"/>
        <v/>
      </c>
    </row>
    <row r="26" spans="1:12" x14ac:dyDescent="0.35">
      <c r="A26" s="7" t="str">
        <f>INDEX(RiskRegister[Risk ID],25)</f>
        <v>R025</v>
      </c>
      <c r="B26" s="7">
        <f>INDEX(RiskRegister[Residual Impact (1-5)],25)</f>
        <v>4</v>
      </c>
      <c r="C26" s="7">
        <f>INDEX(RiskRegister[Residual Likelihood (1-5)],25)</f>
        <v>1</v>
      </c>
      <c r="D26" s="7" t="str">
        <f>INDEX(RiskRegister[Risk Zone],25)</f>
        <v>Green — Low</v>
      </c>
      <c r="E26" s="7" t="str">
        <f t="shared" si="0"/>
        <v/>
      </c>
      <c r="F26" s="7" t="str">
        <f t="shared" si="1"/>
        <v/>
      </c>
      <c r="G26" s="7" t="str">
        <f t="shared" si="2"/>
        <v/>
      </c>
      <c r="H26" s="7" t="str">
        <f t="shared" si="3"/>
        <v/>
      </c>
      <c r="I26" s="7" t="str">
        <f t="shared" si="4"/>
        <v/>
      </c>
      <c r="J26" s="7" t="str">
        <f t="shared" si="5"/>
        <v/>
      </c>
      <c r="K26" s="7">
        <f t="shared" si="6"/>
        <v>4</v>
      </c>
      <c r="L26" s="7">
        <f t="shared" si="7"/>
        <v>1</v>
      </c>
    </row>
    <row r="27" spans="1:12" x14ac:dyDescent="0.35">
      <c r="A27" s="7" t="str">
        <f>INDEX(RiskRegister[Risk ID],26)</f>
        <v>R026</v>
      </c>
      <c r="B27" s="7">
        <f>INDEX(RiskRegister[Residual Impact (1-5)],26)</f>
        <v>3</v>
      </c>
      <c r="C27" s="7">
        <f>INDEX(RiskRegister[Residual Likelihood (1-5)],26)</f>
        <v>2</v>
      </c>
      <c r="D27" s="7" t="str">
        <f>INDEX(RiskRegister[Risk Zone],26)</f>
        <v>Yellow — Moderate</v>
      </c>
      <c r="E27" s="7" t="str">
        <f t="shared" si="0"/>
        <v/>
      </c>
      <c r="F27" s="7" t="str">
        <f t="shared" si="1"/>
        <v/>
      </c>
      <c r="G27" s="7" t="str">
        <f t="shared" si="2"/>
        <v/>
      </c>
      <c r="H27" s="7" t="str">
        <f t="shared" si="3"/>
        <v/>
      </c>
      <c r="I27" s="7">
        <f t="shared" si="4"/>
        <v>3</v>
      </c>
      <c r="J27" s="7">
        <f t="shared" si="5"/>
        <v>2</v>
      </c>
      <c r="K27" s="7" t="str">
        <f t="shared" si="6"/>
        <v/>
      </c>
      <c r="L27" s="7" t="str">
        <f t="shared" si="7"/>
        <v/>
      </c>
    </row>
    <row r="28" spans="1:12" x14ac:dyDescent="0.35">
      <c r="A28" s="7" t="str">
        <f>INDEX(RiskRegister[Risk ID],27)</f>
        <v>R027</v>
      </c>
      <c r="B28" s="7">
        <f>INDEX(RiskRegister[Residual Impact (1-5)],27)</f>
        <v>3</v>
      </c>
      <c r="C28" s="7">
        <f>INDEX(RiskRegister[Residual Likelihood (1-5)],27)</f>
        <v>1</v>
      </c>
      <c r="D28" s="7" t="str">
        <f>INDEX(RiskRegister[Risk Zone],27)</f>
        <v>Green — Low</v>
      </c>
      <c r="E28" s="7" t="str">
        <f t="shared" si="0"/>
        <v/>
      </c>
      <c r="F28" s="7" t="str">
        <f t="shared" si="1"/>
        <v/>
      </c>
      <c r="G28" s="7" t="str">
        <f t="shared" si="2"/>
        <v/>
      </c>
      <c r="H28" s="7" t="str">
        <f t="shared" si="3"/>
        <v/>
      </c>
      <c r="I28" s="7" t="str">
        <f t="shared" si="4"/>
        <v/>
      </c>
      <c r="J28" s="7" t="str">
        <f t="shared" si="5"/>
        <v/>
      </c>
      <c r="K28" s="7">
        <f t="shared" si="6"/>
        <v>3</v>
      </c>
      <c r="L28" s="7">
        <f t="shared" si="7"/>
        <v>1</v>
      </c>
    </row>
    <row r="29" spans="1:12" x14ac:dyDescent="0.35">
      <c r="A29" s="7" t="str">
        <f>INDEX(RiskRegister[Risk ID],28)</f>
        <v>R028</v>
      </c>
      <c r="B29" s="7">
        <f>INDEX(RiskRegister[Residual Impact (1-5)],28)</f>
        <v>5</v>
      </c>
      <c r="C29" s="7">
        <f>INDEX(RiskRegister[Residual Likelihood (1-5)],28)</f>
        <v>3</v>
      </c>
      <c r="D29" s="7" t="str">
        <f>INDEX(RiskRegister[Risk Zone],28)</f>
        <v>Red — Critical</v>
      </c>
      <c r="E29" s="7">
        <f t="shared" si="0"/>
        <v>5</v>
      </c>
      <c r="F29" s="7">
        <f t="shared" si="1"/>
        <v>3</v>
      </c>
      <c r="G29" s="7" t="str">
        <f t="shared" si="2"/>
        <v/>
      </c>
      <c r="H29" s="7" t="str">
        <f t="shared" si="3"/>
        <v/>
      </c>
      <c r="I29" s="7" t="str">
        <f t="shared" si="4"/>
        <v/>
      </c>
      <c r="J29" s="7" t="str">
        <f t="shared" si="5"/>
        <v/>
      </c>
      <c r="K29" s="7" t="str">
        <f t="shared" si="6"/>
        <v/>
      </c>
      <c r="L29" s="7" t="str">
        <f t="shared" si="7"/>
        <v/>
      </c>
    </row>
    <row r="30" spans="1:12" x14ac:dyDescent="0.35">
      <c r="A30" s="7" t="str">
        <f>INDEX(RiskRegister[Risk ID],29)</f>
        <v>R029</v>
      </c>
      <c r="B30" s="7">
        <f>INDEX(RiskRegister[Residual Impact (1-5)],29)</f>
        <v>3</v>
      </c>
      <c r="C30" s="7">
        <f>INDEX(RiskRegister[Residual Likelihood (1-5)],29)</f>
        <v>2</v>
      </c>
      <c r="D30" s="7" t="str">
        <f>INDEX(RiskRegister[Risk Zone],29)</f>
        <v>Yellow — Moderate</v>
      </c>
      <c r="E30" s="7" t="str">
        <f t="shared" si="0"/>
        <v/>
      </c>
      <c r="F30" s="7" t="str">
        <f t="shared" si="1"/>
        <v/>
      </c>
      <c r="G30" s="7" t="str">
        <f t="shared" si="2"/>
        <v/>
      </c>
      <c r="H30" s="7" t="str">
        <f t="shared" si="3"/>
        <v/>
      </c>
      <c r="I30" s="7">
        <f t="shared" si="4"/>
        <v>3</v>
      </c>
      <c r="J30" s="7">
        <f t="shared" si="5"/>
        <v>2</v>
      </c>
      <c r="K30" s="7" t="str">
        <f t="shared" si="6"/>
        <v/>
      </c>
      <c r="L30" s="7" t="str">
        <f t="shared" si="7"/>
        <v/>
      </c>
    </row>
    <row r="31" spans="1:12" x14ac:dyDescent="0.35">
      <c r="A31" s="7" t="str">
        <f>INDEX(RiskRegister[Risk ID],30)</f>
        <v>R030</v>
      </c>
      <c r="B31" s="7">
        <f>INDEX(RiskRegister[Residual Impact (1-5)],30)</f>
        <v>4</v>
      </c>
      <c r="C31" s="7">
        <f>INDEX(RiskRegister[Residual Likelihood (1-5)],30)</f>
        <v>1</v>
      </c>
      <c r="D31" s="7" t="str">
        <f>INDEX(RiskRegister[Risk Zone],30)</f>
        <v>Green — Low</v>
      </c>
      <c r="E31" s="7" t="str">
        <f t="shared" si="0"/>
        <v/>
      </c>
      <c r="F31" s="7" t="str">
        <f t="shared" si="1"/>
        <v/>
      </c>
      <c r="G31" s="7" t="str">
        <f t="shared" si="2"/>
        <v/>
      </c>
      <c r="H31" s="7" t="str">
        <f t="shared" si="3"/>
        <v/>
      </c>
      <c r="I31" s="7" t="str">
        <f t="shared" si="4"/>
        <v/>
      </c>
      <c r="J31" s="7" t="str">
        <f t="shared" si="5"/>
        <v/>
      </c>
      <c r="K31" s="7">
        <f t="shared" si="6"/>
        <v>4</v>
      </c>
      <c r="L31" s="7">
        <f t="shared" si="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INSTITUTIONAL PROFILE</vt:lpstr>
      <vt:lpstr>RISK REGISTER</vt:lpstr>
      <vt:lpstr>RISK APPETITE</vt:lpstr>
      <vt:lpstr>HEAT MAP</vt:lpstr>
      <vt:lpstr>EXECUTIVE SUMMARY</vt:lpstr>
      <vt:lpstr>KRI DASHBOARD</vt:lpstr>
      <vt:lpstr>CONTROL TESTING</vt:lpstr>
      <vt:lpstr>ACTION TRACKER</vt:lpstr>
      <vt:lpstr>EMERGING RISKS</vt:lpstr>
      <vt:lpstr>CHECKLIST</vt:lpstr>
      <vt:lpstr>HEAT MAP SUPPORT</vt:lpstr>
      <vt:lpstr>CHECKLIST!Print_Area</vt:lpstr>
      <vt:lpstr>'EXECUTIVE SUMMARY'!Print_Area</vt:lpstr>
      <vt:lpstr>'HEAT MAP'!Print_Area</vt:lpstr>
      <vt:lpstr>'INSTITUTIONAL PROFILE'!Print_Area</vt:lpstr>
      <vt:lpstr>'RISK REGISTER'!Print_Area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Lorna</dc:creator>
  <cp:lastModifiedBy>Joy Lorna</cp:lastModifiedBy>
  <dcterms:created xsi:type="dcterms:W3CDTF">2026-08-11T15:12:04Z</dcterms:created>
  <dcterms:modified xsi:type="dcterms:W3CDTF">2026-08-27T19:31:37Z</dcterms:modified>
</cp:coreProperties>
</file>